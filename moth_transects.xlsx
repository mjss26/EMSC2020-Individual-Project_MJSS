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SPENCERSTEW\Downloads\"/>
    </mc:Choice>
  </mc:AlternateContent>
  <xr:revisionPtr revIDLastSave="0" documentId="13_ncr:1_{686895BF-F3D4-4D6C-8E92-EBA583B539BF}" xr6:coauthVersionLast="47" xr6:coauthVersionMax="47" xr10:uidLastSave="{00000000-0000-0000-0000-000000000000}"/>
  <bookViews>
    <workbookView xWindow="-110" yWindow="-110" windowWidth="19420" windowHeight="10420" xr2:uid="{9953F031-7557-4205-B9F7-8FB388E9EC51}"/>
  </bookViews>
  <sheets>
    <sheet name="transect_data" sheetId="7" r:id="rId1"/>
    <sheet name="Cleaning notes" sheetId="9" r:id="rId2"/>
    <sheet name="original_transect_data" sheetId="8" r:id="rId3"/>
    <sheet name="NOV_DEC_MAX_DAILY_TEMPS_BoM" sheetId="11" r:id="rId4"/>
    <sheet name="METADATA" sheetId="12" r:id="rId5"/>
  </sheets>
  <definedNames>
    <definedName name="_xlnm._FilterDatabase" localSheetId="2" hidden="1">original_transect_data!$B$1:$AJ$275</definedName>
    <definedName name="_xlnm._FilterDatabase" localSheetId="0" hidden="1">transect_data!$O$1:$AT$271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17" i="7" l="1"/>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 i="7"/>
  <c r="AL17" i="7"/>
  <c r="AL213" i="7"/>
  <c r="AL189" i="7"/>
  <c r="AL214" i="7"/>
  <c r="AL61" i="7"/>
  <c r="AL60" i="7"/>
  <c r="AL95" i="7"/>
  <c r="AL62" i="7"/>
  <c r="AL63" i="7"/>
  <c r="AL194" i="7"/>
  <c r="AL193" i="7"/>
  <c r="AL198" i="7"/>
  <c r="AL164" i="7"/>
  <c r="AL133" i="7"/>
  <c r="AL230" i="7"/>
  <c r="AL134" i="7"/>
  <c r="AL135" i="7"/>
  <c r="AL244" i="7"/>
  <c r="AL25" i="7"/>
  <c r="AL88" i="7"/>
  <c r="AL165" i="7"/>
  <c r="AL20" i="7"/>
  <c r="AL200" i="7"/>
  <c r="AL65" i="7"/>
  <c r="AL92" i="7"/>
  <c r="AL218" i="7"/>
  <c r="AL220" i="7"/>
  <c r="AL201" i="7"/>
  <c r="AL232" i="7"/>
  <c r="AL202" i="7"/>
  <c r="AL217" i="7"/>
  <c r="AL72" i="7"/>
  <c r="AL124" i="7"/>
  <c r="AL5" i="7"/>
  <c r="AL245" i="7"/>
  <c r="AL246" i="7"/>
  <c r="AL69" i="7"/>
  <c r="AL81" i="7"/>
  <c r="AL120" i="7"/>
  <c r="AL102" i="7"/>
  <c r="AL79" i="7"/>
  <c r="AL9" i="7"/>
  <c r="AL248" i="7"/>
  <c r="AL247" i="7"/>
  <c r="AL128" i="7"/>
  <c r="AL105" i="7"/>
  <c r="AL204" i="7"/>
  <c r="AL143" i="7"/>
  <c r="AL205" i="7"/>
  <c r="AL184" i="7"/>
  <c r="AL185" i="7"/>
  <c r="AL186" i="7"/>
  <c r="AL192" i="7"/>
  <c r="AL191" i="7"/>
  <c r="AL140" i="7"/>
  <c r="AL136" i="7"/>
  <c r="AL137" i="7"/>
  <c r="AL253" i="7"/>
  <c r="AL117" i="7"/>
  <c r="AL118" i="7"/>
  <c r="AL146" i="7"/>
  <c r="AL147" i="7"/>
  <c r="AL150" i="7"/>
  <c r="AL148" i="7"/>
  <c r="AL149" i="7"/>
  <c r="AL255" i="7"/>
  <c r="AL261" i="7"/>
  <c r="AL160" i="7"/>
  <c r="AL239" i="7"/>
  <c r="AL243" i="7"/>
  <c r="AL188" i="7"/>
  <c r="AL262" i="7"/>
  <c r="AL263" i="7"/>
  <c r="AL264" i="7"/>
  <c r="AL265" i="7"/>
  <c r="AL159" i="7"/>
  <c r="AL259" i="7"/>
  <c r="AL257" i="7"/>
  <c r="AL144" i="7"/>
  <c r="AL145" i="7"/>
  <c r="AL269" i="7"/>
  <c r="AL266" i="7"/>
  <c r="AL267" i="7"/>
  <c r="AL271" i="7"/>
  <c r="AL153" i="7"/>
  <c r="AL152" i="7"/>
  <c r="AL155" i="7"/>
  <c r="AL162" i="7"/>
  <c r="AL163" i="7"/>
  <c r="AL53" i="7"/>
  <c r="AL51" i="7"/>
  <c r="AL38" i="7"/>
  <c r="AL48" i="7"/>
  <c r="AL16" i="7"/>
  <c r="AL82" i="7"/>
  <c r="AL58" i="7"/>
  <c r="AL33" i="7"/>
  <c r="AL90" i="7"/>
  <c r="AL106" i="7"/>
  <c r="AL110" i="7"/>
  <c r="AL215" i="7"/>
  <c r="AL44" i="7"/>
  <c r="AL249" i="7"/>
  <c r="AL8" i="7"/>
  <c r="AL43" i="7"/>
  <c r="AL10" i="7"/>
  <c r="AL70" i="7"/>
  <c r="AL74" i="7"/>
  <c r="AL4" i="7"/>
  <c r="AL270" i="7"/>
  <c r="AL195" i="7"/>
  <c r="AL242" i="7"/>
  <c r="AL197" i="7"/>
  <c r="AL171" i="7"/>
  <c r="AL26" i="7"/>
  <c r="AL14" i="7"/>
  <c r="AL12" i="7"/>
  <c r="AL15" i="7"/>
  <c r="AL40" i="7"/>
  <c r="AL39" i="7"/>
  <c r="AL30" i="7"/>
  <c r="AL22" i="7"/>
  <c r="AL54" i="7"/>
  <c r="AL132" i="7"/>
  <c r="AL55" i="7"/>
  <c r="AL49" i="7"/>
  <c r="AL221" i="7"/>
  <c r="AL24" i="7"/>
  <c r="AL18" i="7"/>
  <c r="AL13" i="7"/>
  <c r="AL2" i="7"/>
  <c r="AL28" i="7"/>
  <c r="AL169" i="7"/>
  <c r="AL168" i="7"/>
  <c r="AL222" i="7"/>
  <c r="AL125" i="7"/>
  <c r="AL126" i="7"/>
  <c r="AL203" i="7"/>
  <c r="AL251" i="7"/>
  <c r="AL241" i="7"/>
  <c r="AL260" i="7"/>
  <c r="AL256" i="7"/>
  <c r="AL268" i="7"/>
  <c r="AL237" i="7"/>
  <c r="AL231" i="7"/>
  <c r="AL180" i="7"/>
  <c r="AL127" i="7"/>
  <c r="AL181" i="7"/>
  <c r="AL226" i="7"/>
  <c r="AL123" i="7"/>
  <c r="AL172" i="7"/>
  <c r="AL52" i="7"/>
  <c r="AL86" i="7"/>
  <c r="AL196" i="7"/>
  <c r="AL199" i="7"/>
  <c r="AL174" i="7"/>
  <c r="AL73" i="7"/>
  <c r="AL101" i="7"/>
  <c r="AL250" i="7"/>
  <c r="AL252" i="7"/>
  <c r="AL151" i="7"/>
  <c r="AL258" i="7"/>
  <c r="AL154" i="7"/>
  <c r="AL115" i="7"/>
  <c r="AL111" i="7"/>
  <c r="AL211" i="7"/>
  <c r="AL206" i="7"/>
  <c r="AL209" i="7"/>
  <c r="AL179" i="7"/>
  <c r="AL224" i="7"/>
  <c r="AL182" i="7"/>
  <c r="AL254" i="7"/>
  <c r="AL170" i="7"/>
  <c r="AL208" i="7"/>
  <c r="AL227" i="7"/>
  <c r="AL112" i="7"/>
  <c r="AL98" i="7"/>
  <c r="AL67" i="7"/>
  <c r="AL3" i="7"/>
  <c r="AL6" i="7"/>
  <c r="AL216" i="7"/>
  <c r="AL89" i="7"/>
  <c r="AL233" i="7"/>
  <c r="AL96" i="7"/>
  <c r="AL141" i="7"/>
  <c r="AL235" i="7"/>
  <c r="AL91" i="7"/>
  <c r="AL107" i="7"/>
  <c r="AL99" i="7"/>
  <c r="AL76" i="7"/>
  <c r="AL113" i="7"/>
  <c r="AL94" i="7"/>
  <c r="AL142" i="7"/>
  <c r="AL97" i="7"/>
  <c r="AL131" i="7"/>
  <c r="AL130" i="7"/>
  <c r="AL229" i="7"/>
  <c r="AL32" i="7"/>
  <c r="AL114" i="7"/>
  <c r="AL138" i="7"/>
  <c r="AL68" i="7"/>
  <c r="AL57" i="7"/>
  <c r="AL187" i="7"/>
  <c r="AL116" i="7"/>
  <c r="AL23" i="7"/>
  <c r="AL42" i="7"/>
  <c r="AL100" i="7"/>
  <c r="AL41" i="7"/>
  <c r="AL45" i="7"/>
  <c r="AL177" i="7"/>
  <c r="AL78" i="7"/>
  <c r="AL87" i="7"/>
  <c r="AL84" i="7"/>
  <c r="AL108" i="7"/>
  <c r="AL93" i="7"/>
  <c r="AL80" i="7"/>
  <c r="AL178" i="7"/>
  <c r="AL175" i="7"/>
  <c r="AL223" i="7"/>
  <c r="AL225" i="7"/>
  <c r="AL173" i="7"/>
  <c r="AL50" i="7"/>
  <c r="AL121" i="7"/>
  <c r="AL104" i="7"/>
  <c r="AL129" i="7"/>
  <c r="AL109" i="7"/>
  <c r="AL176" i="7"/>
  <c r="AL34" i="7"/>
  <c r="AL219" i="7"/>
  <c r="AL167" i="7"/>
  <c r="AL103" i="7"/>
  <c r="AL166" i="7"/>
  <c r="AL236" i="7"/>
  <c r="AL119" i="7"/>
  <c r="AL240" i="7"/>
  <c r="AL228" i="7"/>
  <c r="AL29" i="7"/>
  <c r="AL35" i="7"/>
  <c r="AL183" i="7"/>
  <c r="AL158" i="7"/>
  <c r="AL157" i="7"/>
  <c r="AL190" i="7"/>
  <c r="AL71" i="7"/>
  <c r="AL46" i="7"/>
  <c r="AL36" i="7"/>
  <c r="AL75" i="7"/>
  <c r="AL37" i="7"/>
  <c r="AL207" i="7"/>
  <c r="AL83" i="7"/>
  <c r="AL85" i="7"/>
  <c r="AL21" i="7"/>
  <c r="AL161" i="7"/>
  <c r="AL77" i="7"/>
  <c r="AL19" i="7"/>
  <c r="AL122" i="7"/>
  <c r="AL27" i="7"/>
  <c r="AL156" i="7"/>
  <c r="AL47" i="7"/>
  <c r="AL139" i="7"/>
  <c r="AL7" i="7"/>
  <c r="AL11" i="7"/>
  <c r="AL31" i="7"/>
  <c r="AL66" i="7"/>
  <c r="AL238" i="7"/>
  <c r="AL210" i="7"/>
  <c r="AL59" i="7"/>
  <c r="AL212" i="7"/>
  <c r="AL64" i="7"/>
  <c r="AL56" i="7"/>
  <c r="AL234" i="7"/>
  <c r="J162" i="7"/>
  <c r="J163" i="7"/>
  <c r="J156" i="7"/>
  <c r="J11" i="7"/>
  <c r="J10" i="7"/>
  <c r="J12" i="7"/>
  <c r="J13" i="7"/>
  <c r="J129" i="7"/>
  <c r="J52" i="7"/>
  <c r="J53" i="7"/>
  <c r="J207" i="7"/>
  <c r="J206" i="7"/>
  <c r="J130" i="7"/>
  <c r="J208" i="7"/>
  <c r="J209" i="7"/>
  <c r="J228" i="7"/>
  <c r="J227" i="7"/>
  <c r="J58" i="7"/>
  <c r="J59" i="7"/>
  <c r="J210" i="7"/>
  <c r="J211" i="7"/>
  <c r="J15" i="7"/>
  <c r="J14" i="7"/>
  <c r="J17" i="7"/>
  <c r="J16" i="7"/>
  <c r="J86" i="7"/>
  <c r="J93" i="7"/>
  <c r="J213" i="7"/>
  <c r="J212" i="7"/>
  <c r="J190" i="7"/>
  <c r="J189" i="7"/>
  <c r="J215" i="7"/>
  <c r="J214" i="7"/>
  <c r="J61" i="7"/>
  <c r="J60" i="7"/>
  <c r="J95" i="7"/>
  <c r="J94" i="7"/>
  <c r="J62" i="7"/>
  <c r="J63" i="7"/>
  <c r="J64" i="7"/>
  <c r="J67" i="7"/>
  <c r="J194" i="7"/>
  <c r="J193" i="7"/>
  <c r="J18" i="7"/>
  <c r="J19" i="7"/>
  <c r="J198" i="7"/>
  <c r="J197" i="7"/>
  <c r="J164" i="7"/>
  <c r="J131" i="7"/>
  <c r="J133" i="7"/>
  <c r="J132" i="7"/>
  <c r="J196" i="7"/>
  <c r="J195" i="7"/>
  <c r="J230" i="7"/>
  <c r="J229" i="7"/>
  <c r="J134" i="7"/>
  <c r="J135" i="7"/>
  <c r="J71" i="7"/>
  <c r="J70" i="7"/>
  <c r="J82" i="7"/>
  <c r="J83" i="7"/>
  <c r="J244" i="7"/>
  <c r="J216" i="7"/>
  <c r="J171" i="7"/>
  <c r="J172" i="7"/>
  <c r="J85" i="7"/>
  <c r="J84" i="7"/>
  <c r="J221" i="7"/>
  <c r="J75" i="7"/>
  <c r="J74" i="7"/>
  <c r="J169" i="7"/>
  <c r="J168" i="7"/>
  <c r="J26" i="7"/>
  <c r="J25" i="7"/>
  <c r="J24" i="7"/>
  <c r="J27" i="7"/>
  <c r="J88" i="7"/>
  <c r="J87" i="7"/>
  <c r="J178" i="7"/>
  <c r="J177" i="7"/>
  <c r="J165" i="7"/>
  <c r="J219" i="7"/>
  <c r="J20" i="7"/>
  <c r="J21" i="7"/>
  <c r="J175" i="7"/>
  <c r="J176" i="7"/>
  <c r="J223" i="7"/>
  <c r="J222" i="7"/>
  <c r="J30" i="7"/>
  <c r="J31" i="7"/>
  <c r="J22" i="7"/>
  <c r="J28" i="7"/>
  <c r="J226" i="7"/>
  <c r="J29" i="7"/>
  <c r="J23" i="7"/>
  <c r="J200" i="7"/>
  <c r="J199" i="7"/>
  <c r="J65" i="7"/>
  <c r="J66" i="7"/>
  <c r="J91" i="7"/>
  <c r="J92" i="7"/>
  <c r="J218" i="7"/>
  <c r="J225" i="7"/>
  <c r="J220" i="7"/>
  <c r="J89" i="7"/>
  <c r="J90" i="7"/>
  <c r="J170" i="7"/>
  <c r="J179" i="7"/>
  <c r="J231" i="7"/>
  <c r="J201" i="7"/>
  <c r="J232" i="7"/>
  <c r="J202" i="7"/>
  <c r="J234" i="7"/>
  <c r="J173" i="7"/>
  <c r="J174" i="7"/>
  <c r="J3" i="7"/>
  <c r="J2" i="7"/>
  <c r="J73" i="7"/>
  <c r="J217" i="7"/>
  <c r="J123" i="7"/>
  <c r="J72" i="7"/>
  <c r="J107" i="7"/>
  <c r="J124" i="7"/>
  <c r="J121" i="7"/>
  <c r="J122" i="7"/>
  <c r="J4" i="7"/>
  <c r="J5" i="7"/>
  <c r="J233" i="7"/>
  <c r="J245" i="7"/>
  <c r="J246" i="7"/>
  <c r="J77" i="7"/>
  <c r="J76" i="7"/>
  <c r="J68" i="7"/>
  <c r="J69" i="7"/>
  <c r="J224" i="7"/>
  <c r="J96" i="7"/>
  <c r="J97" i="7"/>
  <c r="J81" i="7"/>
  <c r="J80" i="7"/>
  <c r="J106" i="7"/>
  <c r="J6" i="7"/>
  <c r="J7" i="7"/>
  <c r="J101" i="7"/>
  <c r="J100" i="7"/>
  <c r="J120" i="7"/>
  <c r="J167" i="7"/>
  <c r="J42" i="7"/>
  <c r="J43" i="7"/>
  <c r="J103" i="7"/>
  <c r="J102" i="7"/>
  <c r="J166" i="7"/>
  <c r="J79" i="7"/>
  <c r="J237" i="7"/>
  <c r="J78" i="7"/>
  <c r="J125" i="7"/>
  <c r="J126" i="7"/>
  <c r="J8" i="7"/>
  <c r="J9" i="7"/>
  <c r="J99" i="7"/>
  <c r="J98" i="7"/>
  <c r="J180" i="7"/>
  <c r="J181" i="7"/>
  <c r="J41" i="7"/>
  <c r="J40" i="7"/>
  <c r="J236" i="7"/>
  <c r="J235" i="7"/>
  <c r="J248" i="7"/>
  <c r="J247" i="7"/>
  <c r="J32" i="7"/>
  <c r="J33" i="7"/>
  <c r="J109" i="7"/>
  <c r="J127" i="7"/>
  <c r="J108" i="7"/>
  <c r="J128" i="7"/>
  <c r="J34" i="7"/>
  <c r="J35" i="7"/>
  <c r="J105" i="7"/>
  <c r="J104" i="7"/>
  <c r="J45" i="7"/>
  <c r="J44" i="7"/>
  <c r="J46" i="7"/>
  <c r="J47" i="7"/>
  <c r="J203" i="7"/>
  <c r="J204" i="7"/>
  <c r="J142" i="7"/>
  <c r="J143" i="7"/>
  <c r="J110" i="7"/>
  <c r="J111" i="7"/>
  <c r="J205" i="7"/>
  <c r="J184" i="7"/>
  <c r="J182" i="7"/>
  <c r="J183" i="7"/>
  <c r="J36" i="7"/>
  <c r="J37" i="7"/>
  <c r="J38" i="7"/>
  <c r="J39" i="7"/>
  <c r="J185" i="7"/>
  <c r="J114" i="7"/>
  <c r="J186" i="7"/>
  <c r="J112" i="7"/>
  <c r="J187" i="7"/>
  <c r="J113" i="7"/>
  <c r="J116" i="7"/>
  <c r="J115" i="7"/>
  <c r="J138" i="7"/>
  <c r="J139" i="7"/>
  <c r="J250" i="7"/>
  <c r="J249" i="7"/>
  <c r="J192" i="7"/>
  <c r="J191" i="7"/>
  <c r="J140" i="7"/>
  <c r="J251" i="7"/>
  <c r="J141" i="7"/>
  <c r="J136" i="7"/>
  <c r="J137" i="7"/>
  <c r="J241" i="7"/>
  <c r="J242" i="7"/>
  <c r="J252" i="7"/>
  <c r="J253" i="7"/>
  <c r="J117" i="7"/>
  <c r="J118" i="7"/>
  <c r="J146" i="7"/>
  <c r="J147" i="7"/>
  <c r="J151" i="7"/>
  <c r="J150" i="7"/>
  <c r="J119" i="7"/>
  <c r="J148" i="7"/>
  <c r="J149" i="7"/>
  <c r="J255" i="7"/>
  <c r="J254" i="7"/>
  <c r="J261" i="7"/>
  <c r="J260" i="7"/>
  <c r="J160" i="7"/>
  <c r="J238" i="7"/>
  <c r="J240" i="7"/>
  <c r="J239" i="7"/>
  <c r="J243" i="7"/>
  <c r="J188" i="7"/>
  <c r="J161" i="7"/>
  <c r="J262" i="7"/>
  <c r="J263" i="7"/>
  <c r="J264" i="7"/>
  <c r="J265" i="7"/>
  <c r="J159" i="7"/>
  <c r="J259" i="7"/>
  <c r="J258" i="7"/>
  <c r="J158" i="7"/>
  <c r="J256" i="7"/>
  <c r="J257" i="7"/>
  <c r="J144" i="7"/>
  <c r="J145" i="7"/>
  <c r="J269" i="7"/>
  <c r="J268" i="7"/>
  <c r="J266" i="7"/>
  <c r="J267" i="7"/>
  <c r="J271" i="7"/>
  <c r="J270" i="7"/>
  <c r="J153" i="7"/>
  <c r="J152" i="7"/>
  <c r="J157" i="7"/>
  <c r="J154" i="7"/>
  <c r="J155" i="7"/>
  <c r="J55" i="7"/>
  <c r="J57" i="7"/>
  <c r="J56" i="7"/>
  <c r="J48" i="7"/>
  <c r="J49" i="7"/>
  <c r="J50" i="7"/>
  <c r="J51" i="7"/>
  <c r="J54" i="7"/>
  <c r="AO227" i="7"/>
  <c r="AO58" i="7"/>
  <c r="AO59" i="7"/>
  <c r="AO210" i="7"/>
  <c r="AO211" i="7"/>
  <c r="AO15" i="7"/>
  <c r="AO14" i="7"/>
  <c r="AO17" i="7"/>
  <c r="AO16" i="7"/>
  <c r="AO86" i="7"/>
  <c r="AO93" i="7"/>
  <c r="AO213" i="7"/>
  <c r="AO212" i="7"/>
  <c r="AO190" i="7"/>
  <c r="AO189" i="7"/>
  <c r="AO215" i="7"/>
  <c r="AO214" i="7"/>
  <c r="AO61" i="7"/>
  <c r="AO60" i="7"/>
  <c r="AO95" i="7"/>
  <c r="AO94" i="7"/>
  <c r="AO62" i="7"/>
  <c r="AO63" i="7"/>
  <c r="AO64" i="7"/>
  <c r="AO67" i="7"/>
  <c r="AO194" i="7"/>
  <c r="AO193" i="7"/>
  <c r="AO18" i="7"/>
  <c r="AO19" i="7"/>
  <c r="AO198" i="7"/>
  <c r="AO197" i="7"/>
  <c r="AO164" i="7"/>
  <c r="AO131" i="7"/>
  <c r="AO133" i="7"/>
  <c r="AO132" i="7"/>
  <c r="AO196" i="7"/>
  <c r="AO195" i="7"/>
  <c r="AO230" i="7"/>
  <c r="AO229" i="7"/>
  <c r="AO134" i="7"/>
  <c r="AO135" i="7"/>
  <c r="AO71" i="7"/>
  <c r="AO70" i="7"/>
  <c r="AO82" i="7"/>
  <c r="AO83" i="7"/>
  <c r="AO244" i="7"/>
  <c r="AO216" i="7"/>
  <c r="AO171" i="7"/>
  <c r="AO172" i="7"/>
  <c r="AO85" i="7"/>
  <c r="AO84" i="7"/>
  <c r="AO221" i="7"/>
  <c r="AO75" i="7"/>
  <c r="AO74" i="7"/>
  <c r="AO169" i="7"/>
  <c r="AO168" i="7"/>
  <c r="AO26" i="7"/>
  <c r="AO25" i="7"/>
  <c r="AO24" i="7"/>
  <c r="AO27" i="7"/>
  <c r="AO88" i="7"/>
  <c r="AO87" i="7"/>
  <c r="AO178" i="7"/>
  <c r="AO177" i="7"/>
  <c r="AO165" i="7"/>
  <c r="AO219" i="7"/>
  <c r="AO20" i="7"/>
  <c r="AO21" i="7"/>
  <c r="AO175" i="7"/>
  <c r="AO176" i="7"/>
  <c r="AO223" i="7"/>
  <c r="AO222" i="7"/>
  <c r="AO30" i="7"/>
  <c r="AO31" i="7"/>
  <c r="AO22" i="7"/>
  <c r="AO28" i="7"/>
  <c r="AO226" i="7"/>
  <c r="AO29" i="7"/>
  <c r="AO23" i="7"/>
  <c r="AO200" i="7"/>
  <c r="AO199" i="7"/>
  <c r="AO65" i="7"/>
  <c r="AO66" i="7"/>
  <c r="AO91" i="7"/>
  <c r="AO92" i="7"/>
  <c r="AO218" i="7"/>
  <c r="AO225" i="7"/>
  <c r="AO220" i="7"/>
  <c r="AO89" i="7"/>
  <c r="AO90" i="7"/>
  <c r="AO170" i="7"/>
  <c r="AO179" i="7"/>
  <c r="AO231" i="7"/>
  <c r="AO201" i="7"/>
  <c r="AO232" i="7"/>
  <c r="AO202" i="7"/>
  <c r="AO234" i="7"/>
  <c r="AO173" i="7"/>
  <c r="AO174" i="7"/>
  <c r="AO3" i="7"/>
  <c r="AO2" i="7"/>
  <c r="AO73" i="7"/>
  <c r="AO217" i="7"/>
  <c r="AO123" i="7"/>
  <c r="AO72" i="7"/>
  <c r="AO107" i="7"/>
  <c r="AO124" i="7"/>
  <c r="AO121" i="7"/>
  <c r="AO122" i="7"/>
  <c r="AO4" i="7"/>
  <c r="AO5" i="7"/>
  <c r="AO233" i="7"/>
  <c r="AO245" i="7"/>
  <c r="AO246" i="7"/>
  <c r="AO77" i="7"/>
  <c r="AO76" i="7"/>
  <c r="AO68" i="7"/>
  <c r="AO69" i="7"/>
  <c r="AO224" i="7"/>
  <c r="AO96" i="7"/>
  <c r="AO97" i="7"/>
  <c r="AO81" i="7"/>
  <c r="AO80" i="7"/>
  <c r="AO106" i="7"/>
  <c r="AO6" i="7"/>
  <c r="AO7" i="7"/>
  <c r="AO101" i="7"/>
  <c r="AO100" i="7"/>
  <c r="AO120" i="7"/>
  <c r="AO167" i="7"/>
  <c r="AO42" i="7"/>
  <c r="AO43" i="7"/>
  <c r="AO103" i="7"/>
  <c r="AO102" i="7"/>
  <c r="AO166" i="7"/>
  <c r="AO79" i="7"/>
  <c r="AO237" i="7"/>
  <c r="AO78" i="7"/>
  <c r="AO125" i="7"/>
  <c r="AO126" i="7"/>
  <c r="AO8" i="7"/>
  <c r="AO9" i="7"/>
  <c r="AO99" i="7"/>
  <c r="AO98" i="7"/>
  <c r="AO180" i="7"/>
  <c r="AO181" i="7"/>
  <c r="AO41" i="7"/>
  <c r="AO40" i="7"/>
  <c r="AO236" i="7"/>
  <c r="AO235" i="7"/>
  <c r="AO248" i="7"/>
  <c r="AO247" i="7"/>
  <c r="AO32" i="7"/>
  <c r="AO33" i="7"/>
  <c r="AO109" i="7"/>
  <c r="AO127" i="7"/>
  <c r="AO108" i="7"/>
  <c r="AO128" i="7"/>
  <c r="AO34" i="7"/>
  <c r="AO35" i="7"/>
  <c r="AO105" i="7"/>
  <c r="AO104" i="7"/>
  <c r="AO45" i="7"/>
  <c r="AO44" i="7"/>
  <c r="AO46" i="7"/>
  <c r="AO47" i="7"/>
  <c r="AO203" i="7"/>
  <c r="AO204" i="7"/>
  <c r="AO142" i="7"/>
  <c r="AO143" i="7"/>
  <c r="AO110" i="7"/>
  <c r="AO111" i="7"/>
  <c r="AO205" i="7"/>
  <c r="AO184" i="7"/>
  <c r="AO182" i="7"/>
  <c r="AO183" i="7"/>
  <c r="AO36" i="7"/>
  <c r="AO37" i="7"/>
  <c r="AO38" i="7"/>
  <c r="AO39" i="7"/>
  <c r="AO185" i="7"/>
  <c r="AO114" i="7"/>
  <c r="AO186" i="7"/>
  <c r="AO112" i="7"/>
  <c r="AO187" i="7"/>
  <c r="AO113" i="7"/>
  <c r="AO116" i="7"/>
  <c r="AO115" i="7"/>
  <c r="AO138" i="7"/>
  <c r="AO139" i="7"/>
  <c r="AO250" i="7"/>
  <c r="AO249" i="7"/>
  <c r="AO192" i="7"/>
  <c r="AO191" i="7"/>
  <c r="AO140" i="7"/>
  <c r="AO251" i="7"/>
  <c r="AO141" i="7"/>
  <c r="AO136" i="7"/>
  <c r="AO137" i="7"/>
  <c r="AO241" i="7"/>
  <c r="AO242" i="7"/>
  <c r="AO252" i="7"/>
  <c r="AO253" i="7"/>
  <c r="AO117" i="7"/>
  <c r="AO118" i="7"/>
  <c r="AO146" i="7"/>
  <c r="AO147" i="7"/>
  <c r="AO151" i="7"/>
  <c r="AO150" i="7"/>
  <c r="AO119" i="7"/>
  <c r="AO148" i="7"/>
  <c r="AO149" i="7"/>
  <c r="AO255" i="7"/>
  <c r="AO254" i="7"/>
  <c r="AO261" i="7"/>
  <c r="AO260" i="7"/>
  <c r="AO160" i="7"/>
  <c r="AO238" i="7"/>
  <c r="AO240" i="7"/>
  <c r="AO239" i="7"/>
  <c r="AO243" i="7"/>
  <c r="AO188" i="7"/>
  <c r="AO161" i="7"/>
  <c r="AO262" i="7"/>
  <c r="AO263" i="7"/>
  <c r="AO264" i="7"/>
  <c r="AO265" i="7"/>
  <c r="AO159" i="7"/>
  <c r="AO259" i="7"/>
  <c r="AO258" i="7"/>
  <c r="AO158" i="7"/>
  <c r="AO256" i="7"/>
  <c r="AO257" i="7"/>
  <c r="AO144" i="7"/>
  <c r="AO145" i="7"/>
  <c r="AO269" i="7"/>
  <c r="AO268" i="7"/>
  <c r="AO266" i="7"/>
  <c r="AO267" i="7"/>
  <c r="AO271" i="7"/>
  <c r="AO270" i="7"/>
  <c r="AO153" i="7"/>
  <c r="AO152" i="7"/>
  <c r="AO157" i="7"/>
  <c r="AO154" i="7"/>
  <c r="AO155" i="7"/>
  <c r="AO162" i="7"/>
  <c r="AO163" i="7"/>
  <c r="AO156" i="7"/>
  <c r="AO55" i="7"/>
  <c r="AO57" i="7"/>
  <c r="AO56" i="7"/>
  <c r="AO48" i="7"/>
  <c r="AO49" i="7"/>
  <c r="AO50" i="7"/>
  <c r="AO51" i="7"/>
  <c r="AO11" i="7"/>
  <c r="AO10" i="7"/>
  <c r="AO12" i="7"/>
  <c r="AO13" i="7"/>
  <c r="AO129" i="7"/>
  <c r="AO52" i="7"/>
  <c r="AO53" i="7"/>
  <c r="AO207" i="7"/>
  <c r="AO206" i="7"/>
  <c r="AO130" i="7"/>
  <c r="AO208" i="7"/>
  <c r="AO209" i="7"/>
  <c r="AO228" i="7"/>
  <c r="AO54" i="7"/>
  <c r="M7" i="7"/>
  <c r="M9" i="7"/>
  <c r="M11" i="7"/>
  <c r="M10" i="7"/>
  <c r="M12" i="7"/>
  <c r="M13" i="7"/>
  <c r="M15" i="7"/>
  <c r="M14" i="7"/>
  <c r="M17" i="7"/>
  <c r="M16" i="7"/>
  <c r="M18" i="7"/>
  <c r="M19" i="7"/>
  <c r="M20" i="7"/>
  <c r="M21" i="7"/>
  <c r="M22" i="7"/>
  <c r="M26" i="7"/>
  <c r="M25" i="7"/>
  <c r="M24" i="7"/>
  <c r="M27" i="7"/>
  <c r="M28" i="7"/>
  <c r="M30" i="7"/>
  <c r="M32" i="7"/>
  <c r="M33" i="7"/>
  <c r="M34" i="7"/>
  <c r="M35" i="7"/>
  <c r="M36" i="7"/>
  <c r="M37" i="7"/>
  <c r="M38" i="7"/>
  <c r="M39" i="7"/>
  <c r="M41" i="7"/>
  <c r="M40" i="7"/>
  <c r="M42" i="7"/>
  <c r="M43" i="7"/>
  <c r="M45" i="7"/>
  <c r="M44" i="7"/>
  <c r="M46" i="7"/>
  <c r="M47" i="7"/>
  <c r="M58" i="7"/>
  <c r="M59" i="7"/>
  <c r="M48" i="7"/>
  <c r="M54" i="7"/>
  <c r="M57" i="7"/>
  <c r="M56" i="7"/>
  <c r="M55" i="7"/>
  <c r="M49" i="7"/>
  <c r="M50" i="7"/>
  <c r="M52" i="7"/>
  <c r="M53" i="7"/>
  <c r="M51" i="7"/>
  <c r="M61" i="7"/>
  <c r="M60" i="7"/>
  <c r="M62" i="7"/>
  <c r="M63" i="7"/>
  <c r="M64" i="7"/>
  <c r="M67" i="7"/>
  <c r="M71" i="7"/>
  <c r="M70" i="7"/>
  <c r="M75" i="7"/>
  <c r="M74" i="7"/>
  <c r="M68" i="7"/>
  <c r="M69" i="7"/>
  <c r="M73" i="7"/>
  <c r="M77" i="7"/>
  <c r="M76" i="7"/>
  <c r="M79" i="7"/>
  <c r="M81" i="7"/>
  <c r="M103" i="7"/>
  <c r="M82" i="7"/>
  <c r="M83" i="7"/>
  <c r="M85" i="7"/>
  <c r="M84" i="7"/>
  <c r="M88" i="7"/>
  <c r="M87" i="7"/>
  <c r="M89" i="7"/>
  <c r="M90" i="7"/>
  <c r="M91" i="7"/>
  <c r="M92" i="7"/>
  <c r="M86" i="7"/>
  <c r="M93" i="7"/>
  <c r="M95" i="7"/>
  <c r="M94" i="7"/>
  <c r="M96" i="7"/>
  <c r="M97" i="7"/>
  <c r="M99" i="7"/>
  <c r="M98" i="7"/>
  <c r="M101" i="7"/>
  <c r="M100" i="7"/>
  <c r="M102" i="7"/>
  <c r="M109" i="7"/>
  <c r="M116" i="7"/>
  <c r="M115" i="7"/>
  <c r="M127" i="7"/>
  <c r="M140" i="7"/>
  <c r="M142" i="7"/>
  <c r="M136" i="7"/>
  <c r="M137" i="7"/>
  <c r="M146" i="7"/>
  <c r="M147" i="7"/>
  <c r="M144" i="7"/>
  <c r="M154" i="7"/>
  <c r="M155" i="7"/>
  <c r="M158" i="7"/>
  <c r="M160" i="7"/>
  <c r="M161" i="7"/>
  <c r="M162" i="7"/>
  <c r="M169" i="7"/>
  <c r="M168" i="7"/>
  <c r="M170" i="7"/>
  <c r="M171" i="7"/>
  <c r="M172" i="7"/>
  <c r="M175" i="7"/>
  <c r="M176" i="7"/>
  <c r="M178" i="7"/>
  <c r="M177" i="7"/>
  <c r="M179" i="7"/>
  <c r="M182" i="7"/>
  <c r="M183" i="7"/>
  <c r="M184" i="7"/>
  <c r="M185" i="7"/>
  <c r="M201" i="7"/>
  <c r="M200" i="7"/>
  <c r="M190" i="7"/>
  <c r="M192" i="7"/>
  <c r="M189" i="7"/>
  <c r="M191" i="7"/>
  <c r="M194" i="7"/>
  <c r="M193" i="7"/>
  <c r="M196" i="7"/>
  <c r="M195" i="7"/>
  <c r="M198" i="7"/>
  <c r="M197" i="7"/>
  <c r="M199" i="7"/>
  <c r="M203" i="7"/>
  <c r="M216" i="7"/>
  <c r="M215" i="7"/>
  <c r="M207" i="7"/>
  <c r="M206" i="7"/>
  <c r="M208" i="7"/>
  <c r="M209" i="7"/>
  <c r="M210" i="7"/>
  <c r="M211" i="7"/>
  <c r="M213" i="7"/>
  <c r="M212" i="7"/>
  <c r="M214" i="7"/>
  <c r="M217" i="7"/>
  <c r="M218" i="7"/>
  <c r="M219" i="7"/>
  <c r="M220" i="7"/>
  <c r="M221" i="7"/>
  <c r="M222" i="7"/>
  <c r="M224" i="7"/>
  <c r="M223" i="7"/>
  <c r="M225" i="7"/>
  <c r="M226" i="7"/>
  <c r="M230" i="7"/>
  <c r="M236" i="7"/>
  <c r="M228" i="7"/>
  <c r="M227" i="7"/>
  <c r="M232" i="7"/>
  <c r="M233" i="7"/>
  <c r="M234" i="7"/>
  <c r="M235" i="7"/>
  <c r="M237" i="7"/>
  <c r="M238" i="7"/>
  <c r="M248" i="7"/>
  <c r="M240" i="7"/>
  <c r="M239" i="7"/>
  <c r="M241" i="7"/>
  <c r="M242" i="7"/>
  <c r="M243" i="7"/>
  <c r="M244" i="7"/>
  <c r="M250" i="7"/>
  <c r="M249" i="7"/>
  <c r="M251" i="7"/>
  <c r="M256" i="7"/>
  <c r="M252" i="7"/>
  <c r="M253" i="7"/>
  <c r="M255" i="7"/>
  <c r="M254" i="7"/>
  <c r="M259" i="7"/>
  <c r="M261" i="7"/>
  <c r="M260" i="7"/>
  <c r="M262" i="7"/>
  <c r="M263" i="7"/>
  <c r="M264" i="7"/>
  <c r="M265" i="7"/>
  <c r="M266" i="7"/>
  <c r="M267" i="7"/>
  <c r="M269" i="7"/>
  <c r="M271" i="7"/>
  <c r="M110" i="7"/>
  <c r="M112" i="7"/>
  <c r="M31" i="7"/>
  <c r="M65" i="7"/>
  <c r="M66" i="7"/>
  <c r="M78" i="7"/>
  <c r="M80" i="7"/>
  <c r="M106" i="7"/>
  <c r="M114" i="7"/>
  <c r="M125" i="7"/>
  <c r="M141" i="7"/>
  <c r="M145" i="7"/>
  <c r="M151" i="7"/>
  <c r="M153" i="7"/>
  <c r="M165" i="7"/>
  <c r="M164" i="7"/>
  <c r="M166" i="7"/>
  <c r="M173" i="7"/>
  <c r="M180" i="7"/>
  <c r="M181" i="7"/>
  <c r="M186" i="7"/>
  <c r="M188" i="7"/>
  <c r="M187" i="7"/>
  <c r="M202" i="7"/>
  <c r="M204" i="7"/>
  <c r="M231" i="7"/>
  <c r="M247" i="7"/>
  <c r="M245" i="7"/>
  <c r="M257" i="7"/>
  <c r="M258" i="7"/>
  <c r="M268" i="7"/>
  <c r="M270" i="7"/>
  <c r="M111" i="7"/>
  <c r="M113" i="7"/>
  <c r="M120" i="7"/>
  <c r="M123" i="7"/>
  <c r="M130" i="7"/>
  <c r="M131" i="7"/>
  <c r="M143" i="7"/>
  <c r="M138" i="7"/>
  <c r="M148" i="7"/>
  <c r="M152" i="7"/>
  <c r="M157" i="7"/>
  <c r="M156" i="7"/>
  <c r="M159" i="7"/>
  <c r="M174" i="7"/>
  <c r="M229" i="7"/>
  <c r="M246" i="7"/>
  <c r="M72" i="7"/>
  <c r="M107" i="7"/>
  <c r="M108" i="7"/>
  <c r="M105" i="7"/>
  <c r="M117" i="7"/>
  <c r="M128" i="7"/>
  <c r="M167" i="7"/>
  <c r="M126" i="7"/>
  <c r="M129" i="7"/>
  <c r="M133" i="7"/>
  <c r="M139" i="7"/>
  <c r="M205" i="7"/>
  <c r="M118" i="7"/>
  <c r="M132" i="7"/>
  <c r="M124" i="7"/>
  <c r="M134" i="7"/>
  <c r="M121" i="7"/>
  <c r="M122" i="7"/>
  <c r="M150" i="7"/>
  <c r="M119" i="7"/>
  <c r="M135" i="7"/>
  <c r="M29" i="7"/>
  <c r="M23" i="7"/>
  <c r="M104" i="7"/>
  <c r="M149" i="7"/>
  <c r="M163" i="7"/>
  <c r="M4" i="7"/>
  <c r="M6" i="7"/>
  <c r="M8" i="7"/>
  <c r="M2" i="7"/>
  <c r="M5" i="7"/>
  <c r="M3" i="7"/>
</calcChain>
</file>

<file path=xl/sharedStrings.xml><?xml version="1.0" encoding="utf-8"?>
<sst xmlns="http://schemas.openxmlformats.org/spreadsheetml/2006/main" count="5417" uniqueCount="631">
  <si>
    <t>Transect</t>
  </si>
  <si>
    <t>Segment</t>
  </si>
  <si>
    <t>Time Start</t>
  </si>
  <si>
    <t>Time End</t>
  </si>
  <si>
    <t>Temp Start</t>
  </si>
  <si>
    <t>Temp End</t>
  </si>
  <si>
    <t>Cloud Start</t>
  </si>
  <si>
    <t>Cloud End</t>
  </si>
  <si>
    <t>Soil Start</t>
  </si>
  <si>
    <t>Soil End</t>
  </si>
  <si>
    <t>Wind Start</t>
  </si>
  <si>
    <t>Wind End</t>
  </si>
  <si>
    <t>Meadow Argus</t>
  </si>
  <si>
    <t>Painted Lady</t>
  </si>
  <si>
    <t>Grass Moth</t>
  </si>
  <si>
    <t>Grass Blue</t>
  </si>
  <si>
    <t>Common Brown</t>
  </si>
  <si>
    <t>Cabbage White</t>
  </si>
  <si>
    <t>Caper White</t>
  </si>
  <si>
    <t>Grasshopper</t>
  </si>
  <si>
    <t>Dragonfly</t>
  </si>
  <si>
    <t>Robber fly</t>
  </si>
  <si>
    <t>OTHER SPECIES</t>
  </si>
  <si>
    <t>Transect - Males</t>
  </si>
  <si>
    <t>Transect - Felmales</t>
  </si>
  <si>
    <t>Overcast (91%-100%)</t>
  </si>
  <si>
    <t>Low</t>
  </si>
  <si>
    <t>Broken (51%-90%)</t>
  </si>
  <si>
    <t>Dry</t>
  </si>
  <si>
    <t>Checkered Copper</t>
  </si>
  <si>
    <t>Scattered (26%-50%)</t>
  </si>
  <si>
    <t>Medium</t>
  </si>
  <si>
    <t>Isolated (11-25%)</t>
  </si>
  <si>
    <t>High</t>
  </si>
  <si>
    <t>Crimson Spotted Footman</t>
  </si>
  <si>
    <t>Low-Medium</t>
  </si>
  <si>
    <t>None</t>
  </si>
  <si>
    <t>No wind-Low</t>
  </si>
  <si>
    <t>Hoverfly</t>
  </si>
  <si>
    <t>NOTES</t>
  </si>
  <si>
    <t>1 x female GSM found after transect. Possibly signalling?</t>
  </si>
  <si>
    <t>Crimson Speckled Footman</t>
  </si>
  <si>
    <t>Cockchafer Beetle</t>
  </si>
  <si>
    <t>Bee</t>
  </si>
  <si>
    <t>Bees</t>
  </si>
  <si>
    <t>Crimson Spotted Footman, Cicada</t>
  </si>
  <si>
    <t>Ants</t>
  </si>
  <si>
    <t>No wind</t>
  </si>
  <si>
    <t>Storm incoming</t>
  </si>
  <si>
    <t>Meander: 11:13-11:32</t>
  </si>
  <si>
    <t>Few (1-10%)</t>
  </si>
  <si>
    <t>Cicada</t>
  </si>
  <si>
    <t>Meander time: 11:40-12:20</t>
  </si>
  <si>
    <t>1 x male GSM seen after finishing transect</t>
  </si>
  <si>
    <t>Meander: 13:19-13:39 (RIP male GSM taken by robberfly -&gt; collected for science)</t>
  </si>
  <si>
    <t>The 4 x males were seen in bottom left quarter of transect</t>
  </si>
  <si>
    <t>No clouds</t>
  </si>
  <si>
    <t>Meander: 11:26-12:17</t>
  </si>
  <si>
    <t>Misc brown moth, Christmas beetle</t>
  </si>
  <si>
    <t>Christmas beetle</t>
  </si>
  <si>
    <t>Black wasp yellow antennae (?), Christmas beetle</t>
  </si>
  <si>
    <t>Christmas beetle, St John's Wort Beetle, Hoverfly</t>
  </si>
  <si>
    <t>Small blue beetle, Misc white moth</t>
  </si>
  <si>
    <t>Crimson Spotted Footman (cape moth - unsure if this note referred to the footman?)</t>
  </si>
  <si>
    <t>Meandering transect recorded on Strava</t>
  </si>
  <si>
    <t>1 x male observed in bottom left quarter of transect (30m in, 5 m out)</t>
  </si>
  <si>
    <t>St John's Wort Beetle</t>
  </si>
  <si>
    <t>No meandering time written</t>
  </si>
  <si>
    <t>Medium-High</t>
  </si>
  <si>
    <t>4 x GSM seen whilst setting cameras</t>
  </si>
  <si>
    <t>No meander time notes</t>
  </si>
  <si>
    <t>2x males on 1st meandering transect, 6 x males on 2nd meandering transect</t>
  </si>
  <si>
    <t>No meander time noted</t>
  </si>
  <si>
    <t>Misc brown moth</t>
  </si>
  <si>
    <t>11 x males seen on meandering transect - many likely duplicate sightings. Estimated 5-6 individuals.</t>
  </si>
  <si>
    <t>2 x males in transect seen in final 10 m</t>
  </si>
  <si>
    <t>White moth (cut worm)</t>
  </si>
  <si>
    <t>1 x  5L,10D. 2 x 5L, 70D. 1 x 5R, 80D</t>
  </si>
  <si>
    <t>1x 5R, 50D. 1x 15R, 70D. 1 x 5R, 80D. 1x 15R, 80D</t>
  </si>
  <si>
    <t>no meandering time noted</t>
  </si>
  <si>
    <t>7x males noted bottom right quarter, 2 x noted in top right quarter</t>
  </si>
  <si>
    <t>White case moth</t>
  </si>
  <si>
    <t>1x male 5R5D, 1x male 5R15D, 1x male 10L35D</t>
  </si>
  <si>
    <t>St John's wort beetle</t>
  </si>
  <si>
    <t>1x male 5R15D, 1x male 10L50D</t>
  </si>
  <si>
    <t>1x 10R20D, 1x5L60D, 1 x location not noted</t>
  </si>
  <si>
    <t>1x 5L95D</t>
  </si>
  <si>
    <t>1x 15R60D</t>
  </si>
  <si>
    <t>1x male 30D, 1 x 50D, 2x 5L60D, 1x 70D</t>
  </si>
  <si>
    <t>3/12 was first day using new data sheet</t>
  </si>
  <si>
    <t>grid and write up</t>
  </si>
  <si>
    <t>Cicada, Cutworm</t>
  </si>
  <si>
    <t>no data</t>
  </si>
  <si>
    <t>Damp</t>
  </si>
  <si>
    <t>2 males seen outside of survey time. Pause in transect to catch female</t>
  </si>
  <si>
    <t>Transect quit @ 15:42 (no reason provided)</t>
  </si>
  <si>
    <t>Satin forester</t>
  </si>
  <si>
    <t>Stink bug, Christmas beetle</t>
  </si>
  <si>
    <t>Christmas beetle, Cicada, Ladybug</t>
  </si>
  <si>
    <t>Satin Forester, Hoverfly, Christmas beetle, Annoying beetle (?)</t>
  </si>
  <si>
    <t>Short break to look more closely at GSM (explaination for extended time)</t>
  </si>
  <si>
    <t>Mayfly, Christmas beetle, Annoying beetle (?)</t>
  </si>
  <si>
    <t>N/D</t>
  </si>
  <si>
    <t>Mayfly</t>
  </si>
  <si>
    <t>No meander time noted. (Meander males - 2 flushed, 2 flying)</t>
  </si>
  <si>
    <t>?</t>
  </si>
  <si>
    <t>Beefly</t>
  </si>
  <si>
    <t>Cutworm, Beefly, Cicada</t>
  </si>
  <si>
    <t>13:?</t>
  </si>
  <si>
    <t>Cicada, Beefly, Cutworm, 1x butterfly too fast to identify, (Chough was noted but it is a bird?)</t>
  </si>
  <si>
    <t>Incomplete data - Unsure about quality of this entry?</t>
  </si>
  <si>
    <t>TC&amp;KM:</t>
  </si>
  <si>
    <t>Cicada, Soldier beetle, Mayfly, Misc brown moth</t>
  </si>
  <si>
    <t>Ladybug, Day moth</t>
  </si>
  <si>
    <t>1 min break looking at male GSM</t>
  </si>
  <si>
    <t>7-9 males spotted in meandering transect but some may be duplicate sightings - settled on 7 as number</t>
  </si>
  <si>
    <t>Native bee, Red robber fly</t>
  </si>
  <si>
    <t>Hoverfly, Ladybug</t>
  </si>
  <si>
    <t>5-7 males seen on meandering. No meandering time noted.</t>
  </si>
  <si>
    <t>Satin forester, Lydia Lichen Moth</t>
  </si>
  <si>
    <t>Satin forester, Hoverfly</t>
  </si>
  <si>
    <t>Bee, White misc moth</t>
  </si>
  <si>
    <t>Note: saw 1x GSM on GNR-11 transect 1 around 1:30pm</t>
  </si>
  <si>
    <t>Bee (5), White moth (3)</t>
  </si>
  <si>
    <t>Note: walking back to car 1 x male GSM sighted on GSM 11 transect 1 ~ 1:30pm</t>
  </si>
  <si>
    <t>Misc brown moth, Bee, Leaf moth, Concealer moth</t>
  </si>
  <si>
    <t>Bee, Checkered Copper</t>
  </si>
  <si>
    <t>Satin Forester</t>
  </si>
  <si>
    <t>White moth</t>
  </si>
  <si>
    <t>Bee, White moth</t>
  </si>
  <si>
    <t>Spotted Skipper, Ladybug</t>
  </si>
  <si>
    <t>Brown moth, orange beetle, bee</t>
  </si>
  <si>
    <t>Brown moth, Satin forester, Striped skipper</t>
  </si>
  <si>
    <t>Beetle (?), Bee</t>
  </si>
  <si>
    <t>Brown moth, Forester</t>
  </si>
  <si>
    <t>Bees, White moth, Sawfly larvae (?), ladybug</t>
  </si>
  <si>
    <t>Misc Brown moth</t>
  </si>
  <si>
    <t>Spider (?)</t>
  </si>
  <si>
    <t>Bee, Brown moth</t>
  </si>
  <si>
    <t>White moth, Satin forester, Checkered Copper</t>
  </si>
  <si>
    <t>Misc White moth</t>
  </si>
  <si>
    <t>Checkered Copper, White moth</t>
  </si>
  <si>
    <t>Bee, Hoverfly</t>
  </si>
  <si>
    <t>Checkered Copper, White moth, Hoverfly</t>
  </si>
  <si>
    <t>White moth, Checkered Copper, Brown moth, Bee</t>
  </si>
  <si>
    <t>Brown moth, Checkered Copper, Big black moth (fast)</t>
  </si>
  <si>
    <t>Brown moth, Cicada, Bee, Checkered Copper, White moth</t>
  </si>
  <si>
    <t>Spotted Skipper, Bee</t>
  </si>
  <si>
    <t>Vine moth, Checkered Copper, White moth, Skipper</t>
  </si>
  <si>
    <t>Beetles (?), Checkered Copper</t>
  </si>
  <si>
    <t>Fly, Brown moth, Bee</t>
  </si>
  <si>
    <t>Beetle (?)</t>
  </si>
  <si>
    <t>Early iteration of data sheet without species list - may have meant grasshoppers etc were not noted?</t>
  </si>
  <si>
    <t>White moth, Brown Moth, Forester (no colour ID written)</t>
  </si>
  <si>
    <t>Macleays Swallowtail</t>
  </si>
  <si>
    <t>Brown moth, Skipper, Bee, Suspicious moth (?)</t>
  </si>
  <si>
    <t>Hoverfly, lady bug</t>
  </si>
  <si>
    <t>Hoverfly, Misc White moth, ladybug</t>
  </si>
  <si>
    <t>March fly, cicada</t>
  </si>
  <si>
    <t>Damselfly (red &amp; blue), misc white moth, cicada</t>
  </si>
  <si>
    <t>misc white moth</t>
  </si>
  <si>
    <t>Note - 1 x male spotted on way to car</t>
  </si>
  <si>
    <t>Lesser wanderer, Yellow admiral</t>
  </si>
  <si>
    <t>Misc brown moth (cornear worm?), misc white moth, native bee, red lanky fly/mozzie thing (?)</t>
  </si>
  <si>
    <t>Ladybug</t>
  </si>
  <si>
    <t>Yellow &amp; brown moth (maise to confirm?), beetle, native bee</t>
  </si>
  <si>
    <t>Native bee/hoverfly</t>
  </si>
  <si>
    <t>Actively flying</t>
  </si>
  <si>
    <t>Mosquito thing</t>
  </si>
  <si>
    <t>Meander start: 11:24 Meander end: 11:57</t>
  </si>
  <si>
    <t>Big red wasp</t>
  </si>
  <si>
    <t>Amethyst hair streak (?)</t>
  </si>
  <si>
    <t>1 x GSM male seen flying after transect</t>
  </si>
  <si>
    <t>Meander start: 12:00 Meander end: 12:35</t>
  </si>
  <si>
    <t>Meander start: 11:24 Meander end: 11:57 Meander Note: "Meander included Segment 1"</t>
  </si>
  <si>
    <t>Beetle</t>
  </si>
  <si>
    <t>Meander start: 11:15 Meander end: 12:27 Meander notes: "looking for PCs" (?)</t>
  </si>
  <si>
    <t>Black wasp</t>
  </si>
  <si>
    <t>Note: "Gate closed - Antechinus gate" Meander start: 13:04 Meander end: 13:32</t>
  </si>
  <si>
    <t>Meander start: 11:40 Meander end: 12:20 Meander notes: "1 x male seen at end of meander, likely same one as already noted"</t>
  </si>
  <si>
    <t>Meander start: 13:10 Meander end: 13:39</t>
  </si>
  <si>
    <t>Amethyst hair streak</t>
  </si>
  <si>
    <t>Christmas beetle, Cicada</t>
  </si>
  <si>
    <t>Crimson Spotted Footmen</t>
  </si>
  <si>
    <t>Misc Brown Moth</t>
  </si>
  <si>
    <t>No formal meander but 1 x female GSM found laying eggs on track on way back to car (noted in meander count)</t>
  </si>
  <si>
    <t>Note - 1 x male GSM seen before transect start</t>
  </si>
  <si>
    <t>Fly, Blue forester, Bee, Checkered Copper, White moth</t>
  </si>
  <si>
    <t>Beetle (?), Satin forester, White moth, Borwn moth, Bee, hoverfly,</t>
  </si>
  <si>
    <t>European Bee, Checkered copper, Hover fly</t>
  </si>
  <si>
    <t>Misc white moth, Bee</t>
  </si>
  <si>
    <t>Native Bee, Bee fly</t>
  </si>
  <si>
    <t>Native Bee, Shiny blowfly, cicada</t>
  </si>
  <si>
    <t>Brown moth, St. John’s wort beetle</t>
  </si>
  <si>
    <t>St. John’s wort beetle</t>
  </si>
  <si>
    <t>Beetle, misc white moth, St. John’s wort beetles</t>
  </si>
  <si>
    <t>St. John’s wort beetle, bee, brown moth</t>
  </si>
  <si>
    <t>Beetle, native bee, St. John’s wort beetle, misc brown moth (corn ear worm?), misc white moth, european bee</t>
  </si>
  <si>
    <t>St. John’s wort beetle, Skipper, White moth</t>
  </si>
  <si>
    <t>St. John’s wort beetle, Bee, Brown Misc oth</t>
  </si>
  <si>
    <t>St. John’s wort beetle, Brown moth, White moth, bee</t>
  </si>
  <si>
    <t>St. John’s wort beetle, white moth, bee</t>
  </si>
  <si>
    <t>Misc brown moth, St. John’s wort beetle, Query wasp (?)</t>
  </si>
  <si>
    <t>Native bee, St. John’s wort beetle</t>
  </si>
  <si>
    <t>Bee, St. John’s wort beetle</t>
  </si>
  <si>
    <t>St. John’s wort beetle, Native bee</t>
  </si>
  <si>
    <t>St. John’s wort beetle, Hoverfly</t>
  </si>
  <si>
    <t>St. John’s wort beetle, Satin Forester, Hoverfly, Bee, Cicada</t>
  </si>
  <si>
    <t>Checkered Copper, St. John’s wort beetle,White moth, Bee</t>
  </si>
  <si>
    <t>Native bee, Mistletoe moth</t>
  </si>
  <si>
    <t>Misc brown moth, Misc white moth</t>
  </si>
  <si>
    <t>Spider Wasp</t>
  </si>
  <si>
    <t>Black wasp with yellow antenae, ladybug, Spider Wasp, Crimson Spotted Footman</t>
  </si>
  <si>
    <t>Christmas beetle, Spider Wasp</t>
  </si>
  <si>
    <t>St. John’s wort beetle, Spider Wasp</t>
  </si>
  <si>
    <t>Case moth, Spider Wasp</t>
  </si>
  <si>
    <t>Spider Wasp, Satin Forester</t>
  </si>
  <si>
    <t>Misc white moth, Christmas beetle</t>
  </si>
  <si>
    <t>Christmas beetle, Crimson Spotted Footman</t>
  </si>
  <si>
    <t>Christmas beetle, Crimson Speckled Footman (confirm if this is same as spotted footman)</t>
  </si>
  <si>
    <t>Hoverfly, Christmas beetle</t>
  </si>
  <si>
    <t>Christmas beetle, Black wasp</t>
  </si>
  <si>
    <t>Spider Wasp, Christmas beetle</t>
  </si>
  <si>
    <t>Brown moth, Bee, Blue-Banded Bee, White moth, St. John’s wort beetle</t>
  </si>
  <si>
    <t>Column1</t>
  </si>
  <si>
    <t>Column2</t>
  </si>
  <si>
    <t>Column4</t>
  </si>
  <si>
    <t>Column5</t>
  </si>
  <si>
    <t>Column6</t>
  </si>
  <si>
    <t>write up meandeirng notes once deciphered (next cell)</t>
  </si>
  <si>
    <t>Transect stopped at 6 mins to pick up pupal casings</t>
  </si>
  <si>
    <t>No meander time noted or positions</t>
  </si>
  <si>
    <t>1: 7 males    2: 4 males</t>
  </si>
  <si>
    <t>St. John's wort beetle</t>
  </si>
  <si>
    <t>Brown moth</t>
  </si>
  <si>
    <t>Misc brown moth, Misc white moth, beetle</t>
  </si>
  <si>
    <t>G</t>
  </si>
  <si>
    <t>L</t>
  </si>
  <si>
    <t>M</t>
  </si>
  <si>
    <t>Reserve</t>
  </si>
  <si>
    <t>Site</t>
  </si>
  <si>
    <t>11</t>
  </si>
  <si>
    <t>12</t>
  </si>
  <si>
    <t>?)</t>
  </si>
  <si>
    <t>10</t>
  </si>
  <si>
    <t>NaN</t>
  </si>
  <si>
    <t>ID_1</t>
  </si>
  <si>
    <t>ID_2</t>
  </si>
  <si>
    <t>ID_3</t>
  </si>
  <si>
    <t>ID_4</t>
  </si>
  <si>
    <t>ID_5</t>
  </si>
  <si>
    <t>ID_6</t>
  </si>
  <si>
    <t>ID_7</t>
  </si>
  <si>
    <t>ID_8</t>
  </si>
  <si>
    <t>ID_9</t>
  </si>
  <si>
    <t>ID_10</t>
  </si>
  <si>
    <t>ID_11</t>
  </si>
  <si>
    <t>ID_12</t>
  </si>
  <si>
    <t>ID_13</t>
  </si>
  <si>
    <t>ID_14</t>
  </si>
  <si>
    <t>ID_15</t>
  </si>
  <si>
    <t>ID_16</t>
  </si>
  <si>
    <t>ID_17</t>
  </si>
  <si>
    <t>ID_18</t>
  </si>
  <si>
    <t>ID_19</t>
  </si>
  <si>
    <t>ID_20</t>
  </si>
  <si>
    <t>ID_21</t>
  </si>
  <si>
    <t>ID_22</t>
  </si>
  <si>
    <t>ID_23</t>
  </si>
  <si>
    <t>ID_24</t>
  </si>
  <si>
    <t>ID_25</t>
  </si>
  <si>
    <t>ID_26</t>
  </si>
  <si>
    <t>ID_27</t>
  </si>
  <si>
    <t>ID_28</t>
  </si>
  <si>
    <t>ID_29</t>
  </si>
  <si>
    <t>ID_30</t>
  </si>
  <si>
    <t>ID_31</t>
  </si>
  <si>
    <t>ID_32</t>
  </si>
  <si>
    <t>ID_33</t>
  </si>
  <si>
    <t>ID_34</t>
  </si>
  <si>
    <t>ID_35</t>
  </si>
  <si>
    <t>ID_36</t>
  </si>
  <si>
    <t>ID_37</t>
  </si>
  <si>
    <t>ID_38</t>
  </si>
  <si>
    <t>ID_39</t>
  </si>
  <si>
    <t>ID_40</t>
  </si>
  <si>
    <t>ID_41</t>
  </si>
  <si>
    <t>ID_42</t>
  </si>
  <si>
    <t>ID_43</t>
  </si>
  <si>
    <t>ID_44</t>
  </si>
  <si>
    <t>ID_45</t>
  </si>
  <si>
    <t>ID_46</t>
  </si>
  <si>
    <t>ID_47</t>
  </si>
  <si>
    <t>ID_48</t>
  </si>
  <si>
    <t>ID_49</t>
  </si>
  <si>
    <t>ID_50</t>
  </si>
  <si>
    <t>ID_51</t>
  </si>
  <si>
    <t>ID_52</t>
  </si>
  <si>
    <t>ID_53</t>
  </si>
  <si>
    <t>ID_54</t>
  </si>
  <si>
    <t>ID_55</t>
  </si>
  <si>
    <t>ID_56</t>
  </si>
  <si>
    <t>ID_57</t>
  </si>
  <si>
    <t>ID_58</t>
  </si>
  <si>
    <t>ID_59</t>
  </si>
  <si>
    <t>ID_60</t>
  </si>
  <si>
    <t>ID_61</t>
  </si>
  <si>
    <t>ID_62</t>
  </si>
  <si>
    <t>ID_63</t>
  </si>
  <si>
    <t>ID_64</t>
  </si>
  <si>
    <t>ID_65</t>
  </si>
  <si>
    <t>ID_66</t>
  </si>
  <si>
    <t>ID_67</t>
  </si>
  <si>
    <t>ID_68</t>
  </si>
  <si>
    <t>ID_69</t>
  </si>
  <si>
    <t>ID_70</t>
  </si>
  <si>
    <t>ID_71</t>
  </si>
  <si>
    <t>ID_72</t>
  </si>
  <si>
    <t>ID_73</t>
  </si>
  <si>
    <t>ID_74</t>
  </si>
  <si>
    <t>ID_75</t>
  </si>
  <si>
    <t>ID_76</t>
  </si>
  <si>
    <t>ID_77</t>
  </si>
  <si>
    <t>ID_78</t>
  </si>
  <si>
    <t>ID_79</t>
  </si>
  <si>
    <t>ID_80</t>
  </si>
  <si>
    <t>ID_81</t>
  </si>
  <si>
    <t>ID_82</t>
  </si>
  <si>
    <t>ID_83</t>
  </si>
  <si>
    <t>ID_84</t>
  </si>
  <si>
    <t>ID_85</t>
  </si>
  <si>
    <t>ID_86</t>
  </si>
  <si>
    <t>ID_87</t>
  </si>
  <si>
    <t>ID_88</t>
  </si>
  <si>
    <t>ID_89</t>
  </si>
  <si>
    <t>ID_90</t>
  </si>
  <si>
    <t>ID_91</t>
  </si>
  <si>
    <t>ID_92</t>
  </si>
  <si>
    <t>ID_93</t>
  </si>
  <si>
    <t>ID_94</t>
  </si>
  <si>
    <t>ID_95</t>
  </si>
  <si>
    <t>ID_96</t>
  </si>
  <si>
    <t>ID_97</t>
  </si>
  <si>
    <t>ID_98</t>
  </si>
  <si>
    <t>ID_99</t>
  </si>
  <si>
    <t>ID_100</t>
  </si>
  <si>
    <t>ID_101</t>
  </si>
  <si>
    <t>ID_102</t>
  </si>
  <si>
    <t>ID_103</t>
  </si>
  <si>
    <t>ID_104</t>
  </si>
  <si>
    <t>ID_105</t>
  </si>
  <si>
    <t>ID_106</t>
  </si>
  <si>
    <t>ID_107</t>
  </si>
  <si>
    <t>ID_108</t>
  </si>
  <si>
    <t>ID_109</t>
  </si>
  <si>
    <t>ID_110</t>
  </si>
  <si>
    <t>ID_111</t>
  </si>
  <si>
    <t>ID_112</t>
  </si>
  <si>
    <t>ID_113</t>
  </si>
  <si>
    <t>ID_114</t>
  </si>
  <si>
    <t>ID_115</t>
  </si>
  <si>
    <t>ID_116</t>
  </si>
  <si>
    <t>ID_117</t>
  </si>
  <si>
    <t>ID_118</t>
  </si>
  <si>
    <t>ID_119</t>
  </si>
  <si>
    <t>ID_120</t>
  </si>
  <si>
    <t>ID_121</t>
  </si>
  <si>
    <t>ID_122</t>
  </si>
  <si>
    <t>ID_123</t>
  </si>
  <si>
    <t>ID_124</t>
  </si>
  <si>
    <t>ID_125</t>
  </si>
  <si>
    <t>ID_126</t>
  </si>
  <si>
    <t>ID_127</t>
  </si>
  <si>
    <t>ID_128</t>
  </si>
  <si>
    <t>ID_129</t>
  </si>
  <si>
    <t>ID_130</t>
  </si>
  <si>
    <t>ID_131</t>
  </si>
  <si>
    <t>ID_132</t>
  </si>
  <si>
    <t>ID_133</t>
  </si>
  <si>
    <t>ID_134</t>
  </si>
  <si>
    <t>ID_135</t>
  </si>
  <si>
    <t>ID_136</t>
  </si>
  <si>
    <t>ID_137</t>
  </si>
  <si>
    <t>ID_138</t>
  </si>
  <si>
    <t>ID_139</t>
  </si>
  <si>
    <t>ID_140</t>
  </si>
  <si>
    <t>ID_141</t>
  </si>
  <si>
    <t>ID_142</t>
  </si>
  <si>
    <t>ID_143</t>
  </si>
  <si>
    <t>ID_144</t>
  </si>
  <si>
    <t>ID_145</t>
  </si>
  <si>
    <t>ID_146</t>
  </si>
  <si>
    <t>ID_147</t>
  </si>
  <si>
    <t>ID_148</t>
  </si>
  <si>
    <t>ID_149</t>
  </si>
  <si>
    <t>ID_150</t>
  </si>
  <si>
    <t>ID_151</t>
  </si>
  <si>
    <t>ID_152</t>
  </si>
  <si>
    <t>ID_153</t>
  </si>
  <si>
    <t>ID_154</t>
  </si>
  <si>
    <t>ID_155</t>
  </si>
  <si>
    <t>ID_156</t>
  </si>
  <si>
    <t>ID_157</t>
  </si>
  <si>
    <t>ID_158</t>
  </si>
  <si>
    <t>ID_159</t>
  </si>
  <si>
    <t>ID_160</t>
  </si>
  <si>
    <t>ID_161</t>
  </si>
  <si>
    <t>ID_162</t>
  </si>
  <si>
    <t>ID_163</t>
  </si>
  <si>
    <t>ID_164</t>
  </si>
  <si>
    <t>ID_165</t>
  </si>
  <si>
    <t>ID_166</t>
  </si>
  <si>
    <t>ID_167</t>
  </si>
  <si>
    <t>ID_168</t>
  </si>
  <si>
    <t>ID_169</t>
  </si>
  <si>
    <t>ID_170</t>
  </si>
  <si>
    <t>ID_171</t>
  </si>
  <si>
    <t>ID_172</t>
  </si>
  <si>
    <t>ID_173</t>
  </si>
  <si>
    <t>ID_174</t>
  </si>
  <si>
    <t>ID_175</t>
  </si>
  <si>
    <t>ID_176</t>
  </si>
  <si>
    <t>ID_177</t>
  </si>
  <si>
    <t>ID_178</t>
  </si>
  <si>
    <t>ID_179</t>
  </si>
  <si>
    <t>ID_180</t>
  </si>
  <si>
    <t>ID_181</t>
  </si>
  <si>
    <t>ID_182</t>
  </si>
  <si>
    <t>ID_183</t>
  </si>
  <si>
    <t>ID_184</t>
  </si>
  <si>
    <t>ID_185</t>
  </si>
  <si>
    <t>ID_186</t>
  </si>
  <si>
    <t>ID_187</t>
  </si>
  <si>
    <t>ID_188</t>
  </si>
  <si>
    <t>ID_189</t>
  </si>
  <si>
    <t>ID_190</t>
  </si>
  <si>
    <t>ID_191</t>
  </si>
  <si>
    <t>ID_192</t>
  </si>
  <si>
    <t>ID_193</t>
  </si>
  <si>
    <t>ID_194</t>
  </si>
  <si>
    <t>ID_195</t>
  </si>
  <si>
    <t>ID_196</t>
  </si>
  <si>
    <t>ID_197</t>
  </si>
  <si>
    <t>ID_198</t>
  </si>
  <si>
    <t>ID_199</t>
  </si>
  <si>
    <t>ID_200</t>
  </si>
  <si>
    <t>ID_201</t>
  </si>
  <si>
    <t>ID_202</t>
  </si>
  <si>
    <t>ID_203</t>
  </si>
  <si>
    <t>ID_204</t>
  </si>
  <si>
    <t>ID_205</t>
  </si>
  <si>
    <t>ID_206</t>
  </si>
  <si>
    <t>ID_207</t>
  </si>
  <si>
    <t>ID_208</t>
  </si>
  <si>
    <t>ID_209</t>
  </si>
  <si>
    <t>ID_210</t>
  </si>
  <si>
    <t>ID_211</t>
  </si>
  <si>
    <t>ID_212</t>
  </si>
  <si>
    <t>ID_213</t>
  </si>
  <si>
    <t>ID_214</t>
  </si>
  <si>
    <t>ID_215</t>
  </si>
  <si>
    <t>ID_216</t>
  </si>
  <si>
    <t>ID_217</t>
  </si>
  <si>
    <t>ID_218</t>
  </si>
  <si>
    <t>ID_219</t>
  </si>
  <si>
    <t>ID_220</t>
  </si>
  <si>
    <t>ID_221</t>
  </si>
  <si>
    <t>ID_222</t>
  </si>
  <si>
    <t>ID_223</t>
  </si>
  <si>
    <t>ID_224</t>
  </si>
  <si>
    <t>ID_225</t>
  </si>
  <si>
    <t>ID_226</t>
  </si>
  <si>
    <t>ID_227</t>
  </si>
  <si>
    <t>ID_228</t>
  </si>
  <si>
    <t>ID_229</t>
  </si>
  <si>
    <t>ID_230</t>
  </si>
  <si>
    <t>ID_231</t>
  </si>
  <si>
    <t>ID_232</t>
  </si>
  <si>
    <t>ID_233</t>
  </si>
  <si>
    <t>ID_234</t>
  </si>
  <si>
    <t>ID_235</t>
  </si>
  <si>
    <t>ID_236</t>
  </si>
  <si>
    <t>ID_237</t>
  </si>
  <si>
    <t>ID_238</t>
  </si>
  <si>
    <t>ID_239</t>
  </si>
  <si>
    <t>ID_240</t>
  </si>
  <si>
    <t>ID_241</t>
  </si>
  <si>
    <t>ID_242</t>
  </si>
  <si>
    <t>ID_243</t>
  </si>
  <si>
    <t>ID_244</t>
  </si>
  <si>
    <t>ID_245</t>
  </si>
  <si>
    <t>ID_246</t>
  </si>
  <si>
    <t>ID_247</t>
  </si>
  <si>
    <t>ID_248</t>
  </si>
  <si>
    <t>ID_249</t>
  </si>
  <si>
    <t>ID_250</t>
  </si>
  <si>
    <t>ID_251</t>
  </si>
  <si>
    <t>ID_252</t>
  </si>
  <si>
    <t>ID_253</t>
  </si>
  <si>
    <t>ID_254</t>
  </si>
  <si>
    <t>ID_255</t>
  </si>
  <si>
    <t>ID_256</t>
  </si>
  <si>
    <t>ID_257</t>
  </si>
  <si>
    <t>ID_258</t>
  </si>
  <si>
    <t>ID_259</t>
  </si>
  <si>
    <t>ID_260</t>
  </si>
  <si>
    <t>ID_261</t>
  </si>
  <si>
    <t>ID_262</t>
  </si>
  <si>
    <t>ID_263</t>
  </si>
  <si>
    <t>ID_264</t>
  </si>
  <si>
    <t>ID_265</t>
  </si>
  <si>
    <t>ID_266</t>
  </si>
  <si>
    <t>ID_267</t>
  </si>
  <si>
    <t>ID_268</t>
  </si>
  <si>
    <t>ID_269</t>
  </si>
  <si>
    <t>ID_270</t>
  </si>
  <si>
    <t>ID_271</t>
  </si>
  <si>
    <t>ID_272</t>
  </si>
  <si>
    <t>ID_273</t>
  </si>
  <si>
    <t>ID_274</t>
  </si>
  <si>
    <t>Obs ID</t>
  </si>
  <si>
    <t>Date</t>
  </si>
  <si>
    <t>moth_count</t>
  </si>
  <si>
    <t>temp_avg</t>
  </si>
  <si>
    <t>time_of_day</t>
  </si>
  <si>
    <t>wind_speed</t>
  </si>
  <si>
    <t>cloud_cover</t>
  </si>
  <si>
    <t>Other species count</t>
  </si>
  <si>
    <t>insect_richness</t>
  </si>
  <si>
    <t>site_id</t>
  </si>
  <si>
    <t>3_day_prior_temp</t>
  </si>
  <si>
    <t>2_day_prior_temp</t>
  </si>
  <si>
    <t>1_day_prior_temp</t>
  </si>
  <si>
    <t>mean_max_prior_temp</t>
  </si>
  <si>
    <t>Product code</t>
  </si>
  <si>
    <t>BoM station number</t>
  </si>
  <si>
    <t>Year</t>
  </si>
  <si>
    <t>Month</t>
  </si>
  <si>
    <t>Day</t>
  </si>
  <si>
    <t>Maximum temperature (Degree C)</t>
  </si>
  <si>
    <t>Days of accumulation of maximum temperature</t>
  </si>
  <si>
    <t>Quality</t>
  </si>
  <si>
    <t>IDCJAC0010</t>
  </si>
  <si>
    <t>070351</t>
  </si>
  <si>
    <t>01</t>
  </si>
  <si>
    <t>N</t>
  </si>
  <si>
    <t>02</t>
  </si>
  <si>
    <t>03</t>
  </si>
  <si>
    <t>04</t>
  </si>
  <si>
    <t>05</t>
  </si>
  <si>
    <t>06</t>
  </si>
  <si>
    <t>07</t>
  </si>
  <si>
    <t>08</t>
  </si>
  <si>
    <t>09</t>
  </si>
  <si>
    <t>Y</t>
  </si>
  <si>
    <t>1. Data Preservation</t>
  </si>
  <si>
    <t>Duplicated original dataset to maintain an unaltered version</t>
  </si>
  <si>
    <t>→ stored as original_transect_data</t>
  </si>
  <si>
    <t>2. Standardisation</t>
  </si>
  <si>
    <t>Replaced all instances of “no data” with NaN values</t>
  </si>
  <si>
    <t>Removed blank spacer columns to improve dataset structure</t>
  </si>
  <si>
    <t>3. Correction of Missing / Incomplete Records</t>
  </si>
  <si>
    <t>ID_9: Added end time and end temperature using corresponding transect record (ID_27)</t>
  </si>
  <si>
    <t>ID_22: Added end time (+10 minutes from start time)</t>
  </si>
  <si>
    <t>ID_156: Added end time and end temperature by inference (+10 minutes and +0.2°C based on similar records)</t>
  </si>
  <si>
    <t>ID_193: Added end temperature (+0.2°C adjustment)</t>
  </si>
  <si>
    <t>4. Metadata Corrections</t>
  </si>
  <si>
    <t>ID_47: Corrected date by matching with partner group record (based on identical start time and conditions)</t>
  </si>
  <si>
    <t>ID_66: Corrected date using corresponding partner record</t>
  </si>
  <si>
    <t>5. Derived Variables Created</t>
  </si>
  <si>
    <t>moth_count → combined male and female moth counts</t>
  </si>
  <si>
    <t>temp_avg → average of start and end temperatures</t>
  </si>
  <si>
    <t>time_of_day → converted start time into decimal format</t>
  </si>
  <si>
    <t>insect_richness → total number of insect species recorded per transect</t>
  </si>
  <si>
    <t>6. Conversion of Categorical Variables to Numerical Scales</t>
  </si>
  <si>
    <t>Wind Speed:</t>
  </si>
  <si>
    <t>No wind = 0</t>
  </si>
  <si>
    <t>No wind–Low = 1</t>
  </si>
  <si>
    <t>Low = 2</t>
  </si>
  <si>
    <t>Low–Medium = 3</t>
  </si>
  <si>
    <t>Medium = 4</t>
  </si>
  <si>
    <t>Medium–High = 5</t>
  </si>
  <si>
    <t>High = 6</t>
  </si>
  <si>
    <t>Cloud Cover:</t>
  </si>
  <si>
    <t>No clouds = 0</t>
  </si>
  <si>
    <t>Few (1–10%) = 1</t>
  </si>
  <si>
    <t>Isolated (11–25%) = 2</t>
  </si>
  <si>
    <t>Scattered (26–50%) = 3</t>
  </si>
  <si>
    <t>Broken (51–90%) = 4</t>
  </si>
  <si>
    <t>Overcast (91–100%) = 5</t>
  </si>
  <si>
    <t>7. Handling Missing Data</t>
  </si>
  <si>
    <t>Rows missing temperature or moth_count were removed (essential for analysis)</t>
  </si>
  <si>
    <t>Rows with partial missing environmental data (e.g. wind or cloud cover) were retained where possible</t>
  </si>
  <si>
    <t>→ maximised sample size while acknowledging increased uncertainty</t>
  </si>
  <si>
    <t>8. Removal of Unusable Records</t>
  </si>
  <si>
    <t>The following entries were removed due to incomplete or unreliable data:</t>
  </si>
  <si>
    <t>ID_115 (noted as incomplete, despite containing moth observations)</t>
  </si>
  <si>
    <t>9. Key Consideration</t>
  </si>
  <si>
    <t>Some values were inferred or estimated based on reasonable assumptions</t>
  </si>
  <si>
    <t>This introduces inherent uncertainty, which is later accounted for in the analysis</t>
  </si>
  <si>
    <t>Data Cleaning and Processing Summary</t>
  </si>
  <si>
    <t>The dataset was cleaned through standardisation, targeted correction of missing values, creation of derived variables, and removal of incomplete records, while retaining as much data as possible and acknowledging associated uncertainty.</t>
  </si>
  <si>
    <t>Steps included:</t>
  </si>
  <si>
    <t>METADATA - Temperature data</t>
  </si>
  <si>
    <t>Data source</t>
  </si>
  <si>
    <t>Australian Bureau of Meteorology (BoM) – Climate Data Online</t>
  </si>
  <si>
    <t>Dataset type</t>
  </si>
  <si>
    <t>Daily observations</t>
  </si>
  <si>
    <t>Variable</t>
  </si>
  <si>
    <t>Maximum temperature (°C)</t>
  </si>
  <si>
    <t>Observation code</t>
  </si>
  <si>
    <t>Time period</t>
  </si>
  <si>
    <t>November–December 2025</t>
  </si>
  <si>
    <t>Station name</t>
  </si>
  <si>
    <t>Canberra Airport</t>
  </si>
  <si>
    <t>Station ID</t>
  </si>
  <si>
    <t>Status</t>
  </si>
  <si>
    <t>Open</t>
  </si>
  <si>
    <t>Opened</t>
  </si>
  <si>
    <t>Latitude</t>
  </si>
  <si>
    <t>35.31° S</t>
  </si>
  <si>
    <t>Longitude</t>
  </si>
  <si>
    <t>149.20° E</t>
  </si>
  <si>
    <t>Elevation</t>
  </si>
  <si>
    <t>577 m</t>
  </si>
  <si>
    <t>Geographic location</t>
  </si>
  <si>
    <t>Australian Capital Territory, Australia</t>
  </si>
  <si>
    <t>Data access URL</t>
  </si>
  <si>
    <t>https://reg.bom.gov.au/jsp/ncc/cdio/weatherData/av?p_nccObsCode=122&amp;p_display_type=dailyDataFile&amp;p_startYear=2025&amp;p_stn_num=070351</t>
  </si>
  <si>
    <t>Data provider</t>
  </si>
  <si>
    <t>Commonwealth of Australia (Bureau of Meteorology)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</si>
</sst>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h:mm:ss;@"/>
  </numFmts>
  <fonts count="11" x14ac:knownFonts="1">
    <font>
      <sz val="11"/>
      <color theme="1"/>
      <name val="Arial"/>
      <family val="2"/>
    </font>
    <font>
      <sz val="11"/>
      <color theme="1"/>
      <name val="Arial"/>
      <family val="2"/>
    </font>
    <font>
      <b/>
      <sz val="11"/>
      <color theme="1"/>
      <name val="Arial"/>
      <family val="2"/>
    </font>
    <font>
      <b/>
      <sz val="12"/>
      <color theme="1"/>
      <name val="Aptos"/>
      <family val="2"/>
    </font>
    <font>
      <b/>
      <sz val="12"/>
      <name val="Aptos"/>
      <family val="2"/>
    </font>
    <font>
      <b/>
      <sz val="11"/>
      <color rgb="FFFF0000"/>
      <name val="Arial"/>
      <family val="2"/>
    </font>
    <font>
      <sz val="8"/>
      <name val="Arial"/>
      <family val="2"/>
    </font>
    <font>
      <u/>
      <sz val="11"/>
      <color theme="10"/>
      <name val="Arial"/>
      <family val="2"/>
    </font>
    <font>
      <b/>
      <sz val="11"/>
      <color theme="1"/>
      <name val="Aptos"/>
      <family val="2"/>
    </font>
    <font>
      <b/>
      <sz val="14"/>
      <color theme="1"/>
      <name val="Arial"/>
      <family val="2"/>
    </font>
    <font>
      <u/>
      <sz val="11"/>
      <color rgb="FF00B0F0"/>
      <name val="Arial"/>
      <family val="2"/>
    </font>
  </fonts>
  <fills count="10">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1" tint="0.49998474074526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s>
  <borders count="2">
    <border>
      <left/>
      <right/>
      <top/>
      <bottom/>
      <diagonal/>
    </border>
    <border>
      <left/>
      <right style="thin">
        <color indexed="64"/>
      </right>
      <top/>
      <bottom/>
      <diagonal/>
    </border>
  </borders>
  <cellStyleXfs count="6">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7" fillId="0" borderId="0" applyNumberFormat="0" applyFill="0" applyBorder="0" applyAlignment="0" applyProtection="0"/>
  </cellStyleXfs>
  <cellXfs count="39">
    <xf numFmtId="0" fontId="0" fillId="0" borderId="0" xfId="0"/>
    <xf numFmtId="0" fontId="0" fillId="6" borderId="0" xfId="0" applyFill="1"/>
    <xf numFmtId="0" fontId="0" fillId="8" borderId="0" xfId="0" applyFill="1"/>
    <xf numFmtId="20" fontId="0" fillId="6" borderId="0" xfId="0" applyNumberFormat="1" applyFill="1"/>
    <xf numFmtId="165" fontId="0" fillId="0" borderId="0" xfId="0" applyNumberFormat="1"/>
    <xf numFmtId="164" fontId="0" fillId="0" borderId="0" xfId="0" applyNumberFormat="1"/>
    <xf numFmtId="0" fontId="2" fillId="0" borderId="0" xfId="0" applyFont="1"/>
    <xf numFmtId="165" fontId="0" fillId="8" borderId="0" xfId="0" applyNumberFormat="1" applyFill="1"/>
    <xf numFmtId="164" fontId="0" fillId="8" borderId="0" xfId="0" applyNumberFormat="1" applyFill="1"/>
    <xf numFmtId="0" fontId="0" fillId="9" borderId="0" xfId="0" applyFill="1"/>
    <xf numFmtId="0" fontId="3" fillId="2" borderId="1" xfId="1" applyFont="1" applyBorder="1" applyAlignment="1"/>
    <xf numFmtId="0" fontId="4" fillId="6" borderId="1" xfId="0" applyFont="1" applyFill="1" applyBorder="1"/>
    <xf numFmtId="165" fontId="3" fillId="5" borderId="1" xfId="4" applyNumberFormat="1" applyFont="1" applyBorder="1" applyAlignment="1"/>
    <xf numFmtId="0" fontId="3" fillId="5" borderId="1" xfId="4" applyFont="1" applyBorder="1" applyAlignment="1"/>
    <xf numFmtId="0" fontId="3" fillId="3" borderId="1" xfId="2" applyFont="1" applyBorder="1" applyAlignment="1"/>
    <xf numFmtId="0" fontId="3" fillId="4" borderId="1" xfId="3" applyFont="1" applyBorder="1" applyAlignment="1"/>
    <xf numFmtId="0" fontId="4" fillId="0" borderId="1" xfId="0" applyFont="1" applyBorder="1"/>
    <xf numFmtId="14" fontId="2" fillId="7" borderId="0" xfId="0" applyNumberFormat="1" applyFont="1" applyFill="1" applyAlignment="1">
      <alignment horizontal="center" vertical="center"/>
    </xf>
    <xf numFmtId="0" fontId="3" fillId="2" borderId="0" xfId="1" applyFont="1" applyBorder="1" applyAlignment="1"/>
    <xf numFmtId="14" fontId="5" fillId="8" borderId="0" xfId="0" applyNumberFormat="1" applyFont="1" applyFill="1" applyAlignment="1">
      <alignment horizontal="center" vertical="center"/>
    </xf>
    <xf numFmtId="0" fontId="5" fillId="8" borderId="0" xfId="0" applyFont="1" applyFill="1" applyAlignment="1">
      <alignment horizontal="center" vertical="center"/>
    </xf>
    <xf numFmtId="14" fontId="5" fillId="0" borderId="0" xfId="0" applyNumberFormat="1" applyFont="1" applyAlignment="1">
      <alignment horizontal="center" vertical="center"/>
    </xf>
    <xf numFmtId="14" fontId="2" fillId="0" borderId="0" xfId="0" applyNumberFormat="1" applyFont="1" applyAlignment="1">
      <alignment horizontal="center" vertical="center"/>
    </xf>
    <xf numFmtId="0" fontId="3" fillId="8" borderId="1" xfId="4" applyFont="1" applyFill="1" applyBorder="1" applyAlignment="1"/>
    <xf numFmtId="0" fontId="3" fillId="8" borderId="1" xfId="3" applyFont="1" applyFill="1" applyBorder="1" applyAlignment="1"/>
    <xf numFmtId="2" fontId="0" fillId="0" borderId="0" xfId="0" applyNumberFormat="1"/>
    <xf numFmtId="2" fontId="3" fillId="8" borderId="1" xfId="4" applyNumberFormat="1" applyFont="1" applyFill="1" applyBorder="1" applyAlignment="1"/>
    <xf numFmtId="0" fontId="3" fillId="8" borderId="1" xfId="2" applyFont="1" applyFill="1" applyBorder="1" applyAlignment="1"/>
    <xf numFmtId="0" fontId="0" fillId="0" borderId="0" xfId="0" applyAlignment="1">
      <alignment wrapText="1"/>
    </xf>
    <xf numFmtId="0" fontId="3" fillId="8" borderId="1" xfId="1" applyFont="1" applyFill="1" applyBorder="1" applyAlignment="1"/>
    <xf numFmtId="0" fontId="0" fillId="0" borderId="0" xfId="0" applyFill="1"/>
    <xf numFmtId="0" fontId="8" fillId="8" borderId="0" xfId="1" applyFont="1" applyFill="1" applyBorder="1" applyAlignment="1"/>
    <xf numFmtId="0" fontId="0" fillId="0" borderId="0" xfId="0" quotePrefix="1"/>
    <xf numFmtId="0" fontId="2" fillId="0" borderId="0" xfId="0" quotePrefix="1" applyFont="1"/>
    <xf numFmtId="0" fontId="2" fillId="0" borderId="0" xfId="0" applyFont="1" applyAlignment="1">
      <alignment wrapText="1"/>
    </xf>
    <xf numFmtId="0" fontId="0" fillId="0" borderId="0" xfId="0" applyAlignment="1"/>
    <xf numFmtId="0" fontId="2" fillId="0" borderId="0" xfId="0" applyFont="1" applyAlignment="1"/>
    <xf numFmtId="0" fontId="9" fillId="0" borderId="0" xfId="0" applyFont="1" applyAlignment="1"/>
    <xf numFmtId="0" fontId="10" fillId="0" borderId="0" xfId="5" applyFont="1" applyAlignment="1">
      <alignment wrapText="1"/>
    </xf>
  </cellXfs>
  <cellStyles count="6">
    <cellStyle name="60% - Accent1" xfId="1" builtinId="32"/>
    <cellStyle name="60% - Accent3" xfId="2" builtinId="40"/>
    <cellStyle name="60% - Accent5" xfId="3" builtinId="48"/>
    <cellStyle name="60% - Accent6" xfId="4" builtinId="52"/>
    <cellStyle name="Hyperlink" xfId="5" builtinId="8"/>
    <cellStyle name="Normal" xfId="0" builtinId="0"/>
  </cellStyles>
  <dxfs count="7">
    <dxf>
      <fill>
        <patternFill>
          <bgColor rgb="FF00B0F0"/>
        </patternFill>
      </fill>
    </dxf>
    <dxf>
      <fill>
        <patternFill>
          <bgColor theme="5" tint="0.39994506668294322"/>
        </patternFill>
      </fill>
    </dxf>
    <dxf>
      <fill>
        <patternFill>
          <bgColor theme="8" tint="0.39994506668294322"/>
        </patternFill>
      </fill>
    </dxf>
    <dxf>
      <fill>
        <patternFill>
          <bgColor rgb="FF00B0F0"/>
        </patternFill>
      </fill>
    </dxf>
    <dxf>
      <fill>
        <patternFill>
          <bgColor theme="5" tint="0.39994506668294322"/>
        </patternFill>
      </fill>
    </dxf>
    <dxf>
      <fill>
        <patternFill>
          <bgColor theme="8" tint="0.39994506668294322"/>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Wisp">
  <a:themeElements>
    <a:clrScheme name="Wisp">
      <a:dk1>
        <a:sysClr val="windowText" lastClr="000000"/>
      </a:dk1>
      <a:lt1>
        <a:sysClr val="window" lastClr="FFFFFF"/>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hyperlink" Target="https://reg.bom.gov.au/jsp/ncc/cdio/weatherData/av?p_nccObsCode=122&amp;p_display_type=dailyDataFile&amp;p_startYear=2025&amp;p_stn_num=0703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42553-4CED-4441-B34C-9FBB336681CB}">
  <dimension ref="A1:AS271"/>
  <sheetViews>
    <sheetView tabSelected="1" zoomScale="115" zoomScaleNormal="115" workbookViewId="0">
      <pane ySplit="1" topLeftCell="A2" activePane="bottomLeft" state="frozen"/>
      <selection pane="bottomLeft" activeCell="I9" sqref="I9"/>
    </sheetView>
  </sheetViews>
  <sheetFormatPr defaultColWidth="10.6640625" defaultRowHeight="14" x14ac:dyDescent="0.3"/>
  <cols>
    <col min="7" max="7" width="15.83203125" customWidth="1"/>
    <col min="10" max="10" width="10.6640625" style="25"/>
    <col min="15" max="17" width="10.6640625" style="30"/>
    <col min="20" max="20" width="13.25" customWidth="1"/>
    <col min="23" max="23" width="12.33203125" customWidth="1"/>
    <col min="36" max="36" width="21.6640625" customWidth="1"/>
    <col min="41" max="41" width="21.25" customWidth="1"/>
    <col min="42" max="42" width="25.25" customWidth="1"/>
  </cols>
  <sheetData>
    <row r="1" spans="1:45" ht="16" x14ac:dyDescent="0.4">
      <c r="A1" t="s">
        <v>520</v>
      </c>
      <c r="B1" s="18" t="s">
        <v>521</v>
      </c>
      <c r="C1" s="10" t="s">
        <v>239</v>
      </c>
      <c r="D1" s="10" t="s">
        <v>240</v>
      </c>
      <c r="E1" s="10" t="s">
        <v>0</v>
      </c>
      <c r="F1" s="10" t="s">
        <v>1</v>
      </c>
      <c r="G1" s="29" t="s">
        <v>529</v>
      </c>
      <c r="H1" s="12" t="s">
        <v>2</v>
      </c>
      <c r="I1" s="12" t="s">
        <v>3</v>
      </c>
      <c r="J1" s="26" t="s">
        <v>524</v>
      </c>
      <c r="K1" s="13" t="s">
        <v>4</v>
      </c>
      <c r="L1" s="13" t="s">
        <v>5</v>
      </c>
      <c r="M1" s="23" t="s">
        <v>523</v>
      </c>
      <c r="N1" s="31" t="s">
        <v>530</v>
      </c>
      <c r="O1" s="31" t="s">
        <v>531</v>
      </c>
      <c r="P1" s="31" t="s">
        <v>532</v>
      </c>
      <c r="Q1" s="31" t="s">
        <v>533</v>
      </c>
      <c r="R1" s="13" t="s">
        <v>6</v>
      </c>
      <c r="S1" s="13" t="s">
        <v>7</v>
      </c>
      <c r="T1" s="23" t="s">
        <v>526</v>
      </c>
      <c r="U1" s="13" t="s">
        <v>10</v>
      </c>
      <c r="V1" s="13" t="s">
        <v>11</v>
      </c>
      <c r="W1" s="23" t="s">
        <v>525</v>
      </c>
      <c r="X1" s="13" t="s">
        <v>8</v>
      </c>
      <c r="Y1" s="13" t="s">
        <v>9</v>
      </c>
      <c r="Z1" s="14" t="s">
        <v>12</v>
      </c>
      <c r="AA1" s="14" t="s">
        <v>13</v>
      </c>
      <c r="AB1" s="14" t="s">
        <v>14</v>
      </c>
      <c r="AC1" s="14" t="s">
        <v>15</v>
      </c>
      <c r="AD1" s="14" t="s">
        <v>16</v>
      </c>
      <c r="AE1" s="14" t="s">
        <v>17</v>
      </c>
      <c r="AF1" s="14" t="s">
        <v>18</v>
      </c>
      <c r="AG1" s="14" t="s">
        <v>19</v>
      </c>
      <c r="AH1" s="14" t="s">
        <v>20</v>
      </c>
      <c r="AI1" s="14" t="s">
        <v>21</v>
      </c>
      <c r="AJ1" s="14" t="s">
        <v>22</v>
      </c>
      <c r="AK1" s="14" t="s">
        <v>527</v>
      </c>
      <c r="AL1" s="27" t="s">
        <v>528</v>
      </c>
      <c r="AM1" s="15" t="s">
        <v>23</v>
      </c>
      <c r="AN1" s="15" t="s">
        <v>24</v>
      </c>
      <c r="AO1" s="24" t="s">
        <v>522</v>
      </c>
      <c r="AP1" s="16" t="s">
        <v>39</v>
      </c>
      <c r="AQ1" s="16" t="s">
        <v>226</v>
      </c>
      <c r="AR1" s="16" t="s">
        <v>227</v>
      </c>
      <c r="AS1" s="16" t="s">
        <v>228</v>
      </c>
    </row>
    <row r="2" spans="1:45" x14ac:dyDescent="0.3">
      <c r="A2" t="s">
        <v>246</v>
      </c>
      <c r="B2" s="17">
        <v>45964</v>
      </c>
      <c r="C2" s="6" t="s">
        <v>236</v>
      </c>
      <c r="D2" s="6">
        <v>1</v>
      </c>
      <c r="E2">
        <v>1</v>
      </c>
      <c r="F2">
        <v>1</v>
      </c>
      <c r="G2" t="str">
        <f>A2 &amp; "-" &amp; C2 &amp; "-" &amp; D2 &amp; "-" &amp; E2 &amp; "-" &amp; F2</f>
        <v>ID_1-G-1-1-1</v>
      </c>
      <c r="H2" s="4">
        <v>0.4465277777777778</v>
      </c>
      <c r="I2" s="4">
        <v>0.45347222222222222</v>
      </c>
      <c r="J2" s="25">
        <f t="shared" ref="J2:J65" si="0">HOUR(H2)+(MINUTE(H2))/60</f>
        <v>10.716666666666667</v>
      </c>
      <c r="K2" s="5">
        <v>23</v>
      </c>
      <c r="L2" s="5">
        <v>23</v>
      </c>
      <c r="M2" s="5">
        <f t="shared" ref="M2:M65" si="1">(K2+L2)/2</f>
        <v>23</v>
      </c>
      <c r="N2">
        <v>19.600000000000001</v>
      </c>
      <c r="O2">
        <v>27.1</v>
      </c>
      <c r="P2">
        <v>28.7</v>
      </c>
      <c r="Q2">
        <f t="shared" ref="Q2:Q65" si="2">(N2+O2+P2)/3</f>
        <v>25.133333333333336</v>
      </c>
      <c r="R2" t="s">
        <v>25</v>
      </c>
      <c r="S2" s="2" t="s">
        <v>245</v>
      </c>
      <c r="T2">
        <v>5</v>
      </c>
      <c r="U2" t="s">
        <v>26</v>
      </c>
      <c r="V2" s="2" t="s">
        <v>245</v>
      </c>
      <c r="W2">
        <v>2</v>
      </c>
      <c r="X2" s="2" t="s">
        <v>245</v>
      </c>
      <c r="Y2" s="2" t="s">
        <v>245</v>
      </c>
      <c r="Z2">
        <v>1</v>
      </c>
      <c r="AA2">
        <v>0</v>
      </c>
      <c r="AB2">
        <v>1</v>
      </c>
      <c r="AC2">
        <v>1</v>
      </c>
      <c r="AD2">
        <v>0</v>
      </c>
      <c r="AE2">
        <v>0</v>
      </c>
      <c r="AF2">
        <v>0</v>
      </c>
      <c r="AG2">
        <v>1</v>
      </c>
      <c r="AH2">
        <v>1</v>
      </c>
      <c r="AI2">
        <v>0</v>
      </c>
      <c r="AJ2" t="s">
        <v>141</v>
      </c>
      <c r="AK2">
        <v>2</v>
      </c>
      <c r="AL2">
        <f t="shared" ref="AL2:AL65" si="3">Z2+AA2+AB2+AC2+AD2+AE2+AF2+AG2+AH2+AI2+AK2</f>
        <v>7</v>
      </c>
      <c r="AM2">
        <v>0</v>
      </c>
      <c r="AN2">
        <v>0</v>
      </c>
      <c r="AO2">
        <f t="shared" ref="AO2:AO65" si="4">AM2+AN2</f>
        <v>0</v>
      </c>
    </row>
    <row r="3" spans="1:45" x14ac:dyDescent="0.3">
      <c r="A3" t="s">
        <v>247</v>
      </c>
      <c r="B3" s="17">
        <v>45964</v>
      </c>
      <c r="C3" s="6" t="s">
        <v>236</v>
      </c>
      <c r="D3" s="6">
        <v>1</v>
      </c>
      <c r="E3">
        <v>1</v>
      </c>
      <c r="F3">
        <v>1</v>
      </c>
      <c r="G3" t="str">
        <f>A3 &amp; "-" &amp; C3 &amp; "-" &amp; D3 &amp; "-" &amp; E3 &amp; "-" &amp; F3</f>
        <v>ID_2-G-1-1-1</v>
      </c>
      <c r="H3" s="4">
        <v>0.4465277777777778</v>
      </c>
      <c r="I3" s="4">
        <v>0.45347222222222222</v>
      </c>
      <c r="J3" s="25">
        <f t="shared" si="0"/>
        <v>10.716666666666667</v>
      </c>
      <c r="K3" s="5">
        <v>23</v>
      </c>
      <c r="L3" s="5">
        <v>23</v>
      </c>
      <c r="M3" s="5">
        <f t="shared" si="1"/>
        <v>23</v>
      </c>
      <c r="N3">
        <v>19.600000000000001</v>
      </c>
      <c r="O3">
        <v>27.1</v>
      </c>
      <c r="P3">
        <v>28.7</v>
      </c>
      <c r="Q3">
        <f t="shared" si="2"/>
        <v>25.133333333333336</v>
      </c>
      <c r="R3" t="s">
        <v>25</v>
      </c>
      <c r="S3" s="2" t="s">
        <v>245</v>
      </c>
      <c r="T3">
        <v>5</v>
      </c>
      <c r="U3" t="s">
        <v>26</v>
      </c>
      <c r="V3" s="2" t="s">
        <v>245</v>
      </c>
      <c r="W3">
        <v>2</v>
      </c>
      <c r="X3" s="2" t="s">
        <v>245</v>
      </c>
      <c r="Y3" s="2" t="s">
        <v>245</v>
      </c>
      <c r="Z3">
        <v>0</v>
      </c>
      <c r="AA3">
        <v>0</v>
      </c>
      <c r="AB3">
        <v>1</v>
      </c>
      <c r="AC3">
        <v>1</v>
      </c>
      <c r="AD3">
        <v>0</v>
      </c>
      <c r="AE3">
        <v>0</v>
      </c>
      <c r="AF3">
        <v>0</v>
      </c>
      <c r="AG3">
        <v>0</v>
      </c>
      <c r="AH3">
        <v>1</v>
      </c>
      <c r="AI3">
        <v>0</v>
      </c>
      <c r="AJ3" t="s">
        <v>187</v>
      </c>
      <c r="AK3">
        <v>5</v>
      </c>
      <c r="AL3">
        <f t="shared" si="3"/>
        <v>8</v>
      </c>
      <c r="AM3">
        <v>0</v>
      </c>
      <c r="AN3">
        <v>0</v>
      </c>
      <c r="AO3">
        <f t="shared" si="4"/>
        <v>0</v>
      </c>
      <c r="AP3" s="2" t="s">
        <v>152</v>
      </c>
    </row>
    <row r="4" spans="1:45" x14ac:dyDescent="0.3">
      <c r="A4" t="s">
        <v>248</v>
      </c>
      <c r="B4" s="17">
        <v>45964</v>
      </c>
      <c r="C4" s="6" t="s">
        <v>236</v>
      </c>
      <c r="D4" s="6">
        <v>1</v>
      </c>
      <c r="E4">
        <v>2</v>
      </c>
      <c r="F4">
        <v>1</v>
      </c>
      <c r="G4" t="str">
        <f>A4 &amp; "-" &amp; C4 &amp; "-" &amp; D4 &amp; "-" &amp; E4 &amp; "-" &amp; F4</f>
        <v>ID_3-G-1-2-1</v>
      </c>
      <c r="H4" s="4">
        <v>0.45763888888888887</v>
      </c>
      <c r="I4" s="4">
        <v>0.46527777777777779</v>
      </c>
      <c r="J4" s="25">
        <f t="shared" si="0"/>
        <v>10.983333333333333</v>
      </c>
      <c r="K4" s="5">
        <v>23</v>
      </c>
      <c r="L4" s="5">
        <v>23.1</v>
      </c>
      <c r="M4" s="5">
        <f t="shared" si="1"/>
        <v>23.05</v>
      </c>
      <c r="N4">
        <v>19.600000000000001</v>
      </c>
      <c r="O4">
        <v>27.1</v>
      </c>
      <c r="P4">
        <v>28.7</v>
      </c>
      <c r="Q4">
        <f t="shared" si="2"/>
        <v>25.133333333333336</v>
      </c>
      <c r="R4" t="s">
        <v>25</v>
      </c>
      <c r="S4" s="2" t="s">
        <v>245</v>
      </c>
      <c r="T4">
        <v>5</v>
      </c>
      <c r="U4" t="s">
        <v>35</v>
      </c>
      <c r="V4" s="2" t="s">
        <v>245</v>
      </c>
      <c r="W4">
        <v>3</v>
      </c>
      <c r="X4" s="2" t="s">
        <v>245</v>
      </c>
      <c r="Y4" s="2" t="s">
        <v>245</v>
      </c>
      <c r="Z4">
        <v>1</v>
      </c>
      <c r="AA4">
        <v>0</v>
      </c>
      <c r="AB4">
        <v>1</v>
      </c>
      <c r="AC4">
        <v>1</v>
      </c>
      <c r="AD4">
        <v>0</v>
      </c>
      <c r="AE4">
        <v>0</v>
      </c>
      <c r="AF4">
        <v>0</v>
      </c>
      <c r="AG4">
        <v>0</v>
      </c>
      <c r="AH4">
        <v>1</v>
      </c>
      <c r="AI4">
        <v>0</v>
      </c>
      <c r="AJ4" t="s">
        <v>149</v>
      </c>
      <c r="AK4">
        <v>2</v>
      </c>
      <c r="AL4">
        <f t="shared" si="3"/>
        <v>6</v>
      </c>
      <c r="AM4">
        <v>0</v>
      </c>
      <c r="AN4">
        <v>0</v>
      </c>
      <c r="AO4">
        <f t="shared" si="4"/>
        <v>0</v>
      </c>
      <c r="AP4" s="2" t="s">
        <v>152</v>
      </c>
    </row>
    <row r="5" spans="1:45" x14ac:dyDescent="0.3">
      <c r="A5" t="s">
        <v>249</v>
      </c>
      <c r="B5" s="17">
        <v>45964</v>
      </c>
      <c r="C5" s="6" t="s">
        <v>236</v>
      </c>
      <c r="D5" s="6">
        <v>1</v>
      </c>
      <c r="E5">
        <v>2</v>
      </c>
      <c r="F5">
        <v>1</v>
      </c>
      <c r="G5" t="str">
        <f>A5 &amp; "-" &amp; C5 &amp; "-" &amp; D5 &amp; "-" &amp; E5 &amp; "-" &amp; F5</f>
        <v>ID_4-G-1-2-1</v>
      </c>
      <c r="H5" s="4">
        <v>0.45763888888888887</v>
      </c>
      <c r="I5" s="4">
        <v>0.46527777777777779</v>
      </c>
      <c r="J5" s="25">
        <f t="shared" si="0"/>
        <v>10.983333333333333</v>
      </c>
      <c r="K5" s="5">
        <v>23</v>
      </c>
      <c r="L5" s="5">
        <v>23.1</v>
      </c>
      <c r="M5" s="5">
        <f t="shared" si="1"/>
        <v>23.05</v>
      </c>
      <c r="N5">
        <v>19.600000000000001</v>
      </c>
      <c r="O5">
        <v>27.1</v>
      </c>
      <c r="P5">
        <v>28.7</v>
      </c>
      <c r="Q5">
        <f t="shared" si="2"/>
        <v>25.133333333333336</v>
      </c>
      <c r="R5" t="s">
        <v>25</v>
      </c>
      <c r="S5" s="2" t="s">
        <v>245</v>
      </c>
      <c r="T5">
        <v>5</v>
      </c>
      <c r="U5" t="s">
        <v>35</v>
      </c>
      <c r="V5" s="2" t="s">
        <v>245</v>
      </c>
      <c r="W5">
        <v>3</v>
      </c>
      <c r="X5" s="2" t="s">
        <v>245</v>
      </c>
      <c r="Y5" s="2" t="s">
        <v>245</v>
      </c>
      <c r="Z5">
        <v>0</v>
      </c>
      <c r="AA5">
        <v>0</v>
      </c>
      <c r="AB5">
        <v>1</v>
      </c>
      <c r="AC5">
        <v>1</v>
      </c>
      <c r="AD5">
        <v>0</v>
      </c>
      <c r="AE5">
        <v>0</v>
      </c>
      <c r="AF5">
        <v>0</v>
      </c>
      <c r="AG5">
        <v>1</v>
      </c>
      <c r="AH5">
        <v>0</v>
      </c>
      <c r="AI5">
        <v>0</v>
      </c>
      <c r="AJ5" t="s">
        <v>36</v>
      </c>
      <c r="AK5">
        <v>0</v>
      </c>
      <c r="AL5">
        <f t="shared" si="3"/>
        <v>3</v>
      </c>
      <c r="AM5">
        <v>0</v>
      </c>
      <c r="AN5">
        <v>0</v>
      </c>
      <c r="AO5">
        <f t="shared" si="4"/>
        <v>0</v>
      </c>
    </row>
    <row r="6" spans="1:45" x14ac:dyDescent="0.3">
      <c r="A6" t="s">
        <v>250</v>
      </c>
      <c r="B6" s="17">
        <v>45964</v>
      </c>
      <c r="C6" s="6" t="s">
        <v>236</v>
      </c>
      <c r="D6" s="6">
        <v>1</v>
      </c>
      <c r="E6">
        <v>3</v>
      </c>
      <c r="F6">
        <v>1</v>
      </c>
      <c r="G6" t="str">
        <f>A6 &amp; "-" &amp; C6 &amp; "-" &amp; D6 &amp; "-" &amp; E6 &amp; "-" &amp; F6</f>
        <v>ID_5-G-1-3-1</v>
      </c>
      <c r="H6" s="4">
        <v>0.46736111111111112</v>
      </c>
      <c r="I6" s="4">
        <v>0.47499999999999998</v>
      </c>
      <c r="J6" s="25">
        <f t="shared" si="0"/>
        <v>11.216666666666667</v>
      </c>
      <c r="K6" s="5">
        <v>23.1</v>
      </c>
      <c r="L6" s="5">
        <v>23.8</v>
      </c>
      <c r="M6" s="5">
        <f t="shared" si="1"/>
        <v>23.450000000000003</v>
      </c>
      <c r="N6">
        <v>19.600000000000001</v>
      </c>
      <c r="O6">
        <v>27.1</v>
      </c>
      <c r="P6">
        <v>28.7</v>
      </c>
      <c r="Q6">
        <f t="shared" si="2"/>
        <v>25.133333333333336</v>
      </c>
      <c r="R6" t="s">
        <v>25</v>
      </c>
      <c r="S6" s="2" t="s">
        <v>245</v>
      </c>
      <c r="T6">
        <v>5</v>
      </c>
      <c r="U6" t="s">
        <v>35</v>
      </c>
      <c r="V6" s="2" t="s">
        <v>245</v>
      </c>
      <c r="W6">
        <v>3</v>
      </c>
      <c r="X6" s="2" t="s">
        <v>245</v>
      </c>
      <c r="Y6" s="2" t="s">
        <v>245</v>
      </c>
      <c r="Z6">
        <v>1</v>
      </c>
      <c r="AA6">
        <v>0</v>
      </c>
      <c r="AB6">
        <v>1</v>
      </c>
      <c r="AC6">
        <v>0</v>
      </c>
      <c r="AD6">
        <v>0</v>
      </c>
      <c r="AE6">
        <v>0</v>
      </c>
      <c r="AF6">
        <v>0</v>
      </c>
      <c r="AG6">
        <v>0</v>
      </c>
      <c r="AH6">
        <v>1</v>
      </c>
      <c r="AI6">
        <v>0</v>
      </c>
      <c r="AJ6" t="s">
        <v>150</v>
      </c>
      <c r="AK6">
        <v>3</v>
      </c>
      <c r="AL6">
        <f t="shared" si="3"/>
        <v>6</v>
      </c>
      <c r="AM6">
        <v>0</v>
      </c>
      <c r="AN6">
        <v>0</v>
      </c>
      <c r="AO6">
        <f t="shared" si="4"/>
        <v>0</v>
      </c>
      <c r="AP6" s="2" t="s">
        <v>152</v>
      </c>
    </row>
    <row r="7" spans="1:45" x14ac:dyDescent="0.3">
      <c r="A7" t="s">
        <v>251</v>
      </c>
      <c r="B7" s="17">
        <v>45964</v>
      </c>
      <c r="C7" s="6" t="s">
        <v>236</v>
      </c>
      <c r="D7" s="6">
        <v>1</v>
      </c>
      <c r="E7">
        <v>3</v>
      </c>
      <c r="F7">
        <v>1</v>
      </c>
      <c r="G7" t="str">
        <f>A7 &amp; "-" &amp; C7 &amp; "-" &amp; D7 &amp; "-" &amp; E7 &amp; "-" &amp; F7</f>
        <v>ID_6-G-1-3-1</v>
      </c>
      <c r="H7" s="4">
        <v>0.46736111111111112</v>
      </c>
      <c r="I7" s="4">
        <v>0.47499999999999998</v>
      </c>
      <c r="J7" s="25">
        <f t="shared" si="0"/>
        <v>11.216666666666667</v>
      </c>
      <c r="K7" s="5">
        <v>23.1</v>
      </c>
      <c r="L7" s="5">
        <v>23.8</v>
      </c>
      <c r="M7" s="5">
        <f t="shared" si="1"/>
        <v>23.450000000000003</v>
      </c>
      <c r="N7">
        <v>19.600000000000001</v>
      </c>
      <c r="O7">
        <v>27.1</v>
      </c>
      <c r="P7">
        <v>28.7</v>
      </c>
      <c r="Q7">
        <f t="shared" si="2"/>
        <v>25.133333333333336</v>
      </c>
      <c r="R7" t="s">
        <v>25</v>
      </c>
      <c r="S7" s="2" t="s">
        <v>245</v>
      </c>
      <c r="T7">
        <v>5</v>
      </c>
      <c r="U7" t="s">
        <v>35</v>
      </c>
      <c r="V7" s="2" t="s">
        <v>245</v>
      </c>
      <c r="W7">
        <v>3</v>
      </c>
      <c r="X7" s="2" t="s">
        <v>245</v>
      </c>
      <c r="Y7" s="2" t="s">
        <v>245</v>
      </c>
      <c r="Z7">
        <v>0</v>
      </c>
      <c r="AA7">
        <v>1</v>
      </c>
      <c r="AB7">
        <v>1</v>
      </c>
      <c r="AC7">
        <v>1</v>
      </c>
      <c r="AD7">
        <v>0</v>
      </c>
      <c r="AE7">
        <v>0</v>
      </c>
      <c r="AF7">
        <v>0</v>
      </c>
      <c r="AG7">
        <v>0</v>
      </c>
      <c r="AH7">
        <v>1</v>
      </c>
      <c r="AI7">
        <v>0</v>
      </c>
      <c r="AJ7" t="s">
        <v>153</v>
      </c>
      <c r="AK7">
        <v>3</v>
      </c>
      <c r="AL7">
        <f t="shared" si="3"/>
        <v>7</v>
      </c>
      <c r="AM7">
        <v>0</v>
      </c>
      <c r="AN7">
        <v>0</v>
      </c>
      <c r="AO7">
        <f t="shared" si="4"/>
        <v>0</v>
      </c>
    </row>
    <row r="8" spans="1:45" x14ac:dyDescent="0.3">
      <c r="A8" t="s">
        <v>252</v>
      </c>
      <c r="B8" s="17">
        <v>45964</v>
      </c>
      <c r="C8" s="6" t="s">
        <v>236</v>
      </c>
      <c r="D8" s="6">
        <v>2</v>
      </c>
      <c r="E8">
        <v>1</v>
      </c>
      <c r="F8">
        <v>1</v>
      </c>
      <c r="G8" t="str">
        <f>A8 &amp; "-" &amp; C8 &amp; "-" &amp; D8 &amp; "-" &amp; E8 &amp; "-" &amp; F8</f>
        <v>ID_7-G-2-1-1</v>
      </c>
      <c r="H8" s="4">
        <v>0.53680555555555554</v>
      </c>
      <c r="I8" s="4">
        <v>0.5444444444444444</v>
      </c>
      <c r="J8" s="25">
        <f t="shared" si="0"/>
        <v>12.883333333333333</v>
      </c>
      <c r="K8" s="5">
        <v>25.8</v>
      </c>
      <c r="L8" s="5">
        <v>24.4</v>
      </c>
      <c r="M8" s="5">
        <f t="shared" si="1"/>
        <v>25.1</v>
      </c>
      <c r="N8">
        <v>19.600000000000001</v>
      </c>
      <c r="O8">
        <v>27.1</v>
      </c>
      <c r="P8">
        <v>28.7</v>
      </c>
      <c r="Q8">
        <f t="shared" si="2"/>
        <v>25.133333333333336</v>
      </c>
      <c r="R8" t="s">
        <v>25</v>
      </c>
      <c r="S8" s="2" t="s">
        <v>245</v>
      </c>
      <c r="T8">
        <v>5</v>
      </c>
      <c r="U8" t="s">
        <v>35</v>
      </c>
      <c r="V8" s="2" t="s">
        <v>245</v>
      </c>
      <c r="W8">
        <v>3</v>
      </c>
      <c r="X8" s="2" t="s">
        <v>245</v>
      </c>
      <c r="Y8" s="2" t="s">
        <v>245</v>
      </c>
      <c r="Z8">
        <v>0</v>
      </c>
      <c r="AA8">
        <v>1</v>
      </c>
      <c r="AB8">
        <v>1</v>
      </c>
      <c r="AC8">
        <v>0</v>
      </c>
      <c r="AD8">
        <v>0</v>
      </c>
      <c r="AE8">
        <v>0</v>
      </c>
      <c r="AF8">
        <v>0</v>
      </c>
      <c r="AG8">
        <v>0</v>
      </c>
      <c r="AH8">
        <v>0</v>
      </c>
      <c r="AI8">
        <v>1</v>
      </c>
      <c r="AJ8" t="s">
        <v>151</v>
      </c>
      <c r="AK8">
        <v>1</v>
      </c>
      <c r="AL8">
        <f t="shared" si="3"/>
        <v>4</v>
      </c>
      <c r="AM8">
        <v>0</v>
      </c>
      <c r="AN8">
        <v>0</v>
      </c>
      <c r="AO8">
        <f t="shared" si="4"/>
        <v>0</v>
      </c>
      <c r="AP8" s="2" t="s">
        <v>152</v>
      </c>
    </row>
    <row r="9" spans="1:45" x14ac:dyDescent="0.3">
      <c r="A9" t="s">
        <v>253</v>
      </c>
      <c r="B9" s="17">
        <v>45964</v>
      </c>
      <c r="C9" s="6" t="s">
        <v>236</v>
      </c>
      <c r="D9" s="6">
        <v>2</v>
      </c>
      <c r="E9">
        <v>1</v>
      </c>
      <c r="F9">
        <v>1</v>
      </c>
      <c r="G9" t="str">
        <f>A9 &amp; "-" &amp; C9 &amp; "-" &amp; D9 &amp; "-" &amp; E9 &amp; "-" &amp; F9</f>
        <v>ID_8-G-2-1-1</v>
      </c>
      <c r="H9" s="4">
        <v>0.53680555555555554</v>
      </c>
      <c r="I9" s="4">
        <v>0.5444444444444444</v>
      </c>
      <c r="J9" s="25">
        <f t="shared" si="0"/>
        <v>12.883333333333333</v>
      </c>
      <c r="K9" s="5">
        <v>25.8</v>
      </c>
      <c r="L9" s="5">
        <v>24.4</v>
      </c>
      <c r="M9" s="5">
        <f t="shared" si="1"/>
        <v>25.1</v>
      </c>
      <c r="N9">
        <v>19.600000000000001</v>
      </c>
      <c r="O9">
        <v>27.1</v>
      </c>
      <c r="P9">
        <v>28.7</v>
      </c>
      <c r="Q9">
        <f t="shared" si="2"/>
        <v>25.133333333333336</v>
      </c>
      <c r="R9" t="s">
        <v>25</v>
      </c>
      <c r="S9" s="2" t="s">
        <v>245</v>
      </c>
      <c r="T9">
        <v>5</v>
      </c>
      <c r="U9" t="s">
        <v>35</v>
      </c>
      <c r="V9" s="2" t="s">
        <v>245</v>
      </c>
      <c r="W9">
        <v>3</v>
      </c>
      <c r="X9" s="2" t="s">
        <v>245</v>
      </c>
      <c r="Y9" s="2" t="s">
        <v>245</v>
      </c>
      <c r="Z9">
        <v>0</v>
      </c>
      <c r="AA9">
        <v>0</v>
      </c>
      <c r="AB9">
        <v>1</v>
      </c>
      <c r="AC9">
        <v>1</v>
      </c>
      <c r="AD9">
        <v>0</v>
      </c>
      <c r="AE9">
        <v>0</v>
      </c>
      <c r="AF9">
        <v>0</v>
      </c>
      <c r="AG9" s="2">
        <v>1</v>
      </c>
      <c r="AH9" s="2">
        <v>1</v>
      </c>
      <c r="AI9" s="2">
        <v>1</v>
      </c>
      <c r="AJ9" t="s">
        <v>36</v>
      </c>
      <c r="AK9">
        <v>0</v>
      </c>
      <c r="AL9">
        <f t="shared" si="3"/>
        <v>5</v>
      </c>
      <c r="AM9">
        <v>0</v>
      </c>
      <c r="AN9">
        <v>0</v>
      </c>
      <c r="AO9">
        <f t="shared" si="4"/>
        <v>0</v>
      </c>
    </row>
    <row r="10" spans="1:45" x14ac:dyDescent="0.3">
      <c r="A10" t="s">
        <v>254</v>
      </c>
      <c r="B10" s="17">
        <v>45967</v>
      </c>
      <c r="C10" s="6" t="s">
        <v>236</v>
      </c>
      <c r="D10" s="6">
        <v>1</v>
      </c>
      <c r="E10">
        <v>1</v>
      </c>
      <c r="F10">
        <v>1</v>
      </c>
      <c r="G10" t="str">
        <f>A10 &amp; "-" &amp; C10 &amp; "-" &amp; D10 &amp; "-" &amp; E10 &amp; "-" &amp; F10</f>
        <v>ID_9-G-1-1-1</v>
      </c>
      <c r="H10" s="4">
        <v>0.45277777777777778</v>
      </c>
      <c r="I10" s="4">
        <v>0.46041666666666664</v>
      </c>
      <c r="J10" s="25">
        <f t="shared" si="0"/>
        <v>10.866666666666667</v>
      </c>
      <c r="K10" s="5">
        <v>16</v>
      </c>
      <c r="L10" s="5">
        <v>17.3</v>
      </c>
      <c r="M10" s="5">
        <f t="shared" si="1"/>
        <v>16.649999999999999</v>
      </c>
      <c r="N10">
        <v>27</v>
      </c>
      <c r="O10">
        <v>12.9</v>
      </c>
      <c r="P10">
        <v>18.399999999999999</v>
      </c>
      <c r="Q10">
        <f t="shared" si="2"/>
        <v>19.433333333333334</v>
      </c>
      <c r="R10" t="s">
        <v>50</v>
      </c>
      <c r="S10" t="s">
        <v>50</v>
      </c>
      <c r="T10">
        <v>1</v>
      </c>
      <c r="U10" t="s">
        <v>37</v>
      </c>
      <c r="V10" s="2" t="s">
        <v>245</v>
      </c>
      <c r="W10">
        <v>1</v>
      </c>
      <c r="X10" t="s">
        <v>93</v>
      </c>
      <c r="Y10" t="s">
        <v>93</v>
      </c>
      <c r="Z10">
        <v>0</v>
      </c>
      <c r="AA10">
        <v>0</v>
      </c>
      <c r="AB10">
        <v>1</v>
      </c>
      <c r="AC10">
        <v>0</v>
      </c>
      <c r="AD10">
        <v>0</v>
      </c>
      <c r="AE10">
        <v>0</v>
      </c>
      <c r="AF10">
        <v>0</v>
      </c>
      <c r="AG10">
        <v>1</v>
      </c>
      <c r="AH10">
        <v>1</v>
      </c>
      <c r="AI10">
        <v>1</v>
      </c>
      <c r="AJ10" t="s">
        <v>188</v>
      </c>
      <c r="AK10">
        <v>6</v>
      </c>
      <c r="AL10">
        <f t="shared" si="3"/>
        <v>10</v>
      </c>
      <c r="AM10">
        <v>0</v>
      </c>
      <c r="AN10">
        <v>0</v>
      </c>
      <c r="AO10">
        <f t="shared" si="4"/>
        <v>0</v>
      </c>
    </row>
    <row r="11" spans="1:45" x14ac:dyDescent="0.3">
      <c r="A11" t="s">
        <v>255</v>
      </c>
      <c r="B11" s="17">
        <v>45967</v>
      </c>
      <c r="C11" s="6" t="s">
        <v>236</v>
      </c>
      <c r="D11" s="6">
        <v>1</v>
      </c>
      <c r="E11">
        <v>1</v>
      </c>
      <c r="F11">
        <v>1</v>
      </c>
      <c r="G11" t="str">
        <f>A11 &amp; "-" &amp; C11 &amp; "-" &amp; D11 &amp; "-" &amp; E11 &amp; "-" &amp; F11</f>
        <v>ID_10-G-1-1-1</v>
      </c>
      <c r="H11" s="4">
        <v>0.45277777777777778</v>
      </c>
      <c r="I11" s="4">
        <v>0.46041666666666664</v>
      </c>
      <c r="J11" s="25">
        <f t="shared" si="0"/>
        <v>10.866666666666667</v>
      </c>
      <c r="K11" s="5">
        <v>14</v>
      </c>
      <c r="L11" s="5">
        <v>17.3</v>
      </c>
      <c r="M11" s="5">
        <f t="shared" si="1"/>
        <v>15.65</v>
      </c>
      <c r="N11">
        <v>27</v>
      </c>
      <c r="O11">
        <v>12.9</v>
      </c>
      <c r="P11">
        <v>18.399999999999999</v>
      </c>
      <c r="Q11">
        <f t="shared" si="2"/>
        <v>19.433333333333334</v>
      </c>
      <c r="R11" t="s">
        <v>50</v>
      </c>
      <c r="S11" t="s">
        <v>50</v>
      </c>
      <c r="T11">
        <v>1</v>
      </c>
      <c r="U11" t="s">
        <v>37</v>
      </c>
      <c r="V11" s="2" t="s">
        <v>245</v>
      </c>
      <c r="W11">
        <v>1</v>
      </c>
      <c r="X11" t="s">
        <v>93</v>
      </c>
      <c r="Y11" t="s">
        <v>93</v>
      </c>
      <c r="Z11">
        <v>0</v>
      </c>
      <c r="AA11">
        <v>1</v>
      </c>
      <c r="AB11">
        <v>1</v>
      </c>
      <c r="AC11">
        <v>1</v>
      </c>
      <c r="AD11">
        <v>0</v>
      </c>
      <c r="AE11">
        <v>0</v>
      </c>
      <c r="AF11">
        <v>0</v>
      </c>
      <c r="AG11">
        <v>1</v>
      </c>
      <c r="AH11">
        <v>1</v>
      </c>
      <c r="AI11">
        <v>0</v>
      </c>
      <c r="AJ11" t="s">
        <v>144</v>
      </c>
      <c r="AK11">
        <v>4</v>
      </c>
      <c r="AL11">
        <f t="shared" si="3"/>
        <v>9</v>
      </c>
      <c r="AM11">
        <v>0</v>
      </c>
      <c r="AN11">
        <v>0</v>
      </c>
      <c r="AO11">
        <f t="shared" si="4"/>
        <v>0</v>
      </c>
    </row>
    <row r="12" spans="1:45" x14ac:dyDescent="0.3">
      <c r="A12" t="s">
        <v>256</v>
      </c>
      <c r="B12" s="17">
        <v>45967</v>
      </c>
      <c r="C12" s="6" t="s">
        <v>236</v>
      </c>
      <c r="D12" s="6">
        <v>1</v>
      </c>
      <c r="E12">
        <v>2</v>
      </c>
      <c r="F12">
        <v>1</v>
      </c>
      <c r="G12" t="str">
        <f>A12 &amp; "-" &amp; C12 &amp; "-" &amp; D12 &amp; "-" &amp; E12 &amp; "-" &amp; F12</f>
        <v>ID_11-G-1-2-1</v>
      </c>
      <c r="H12" s="4">
        <v>0.46527777777777779</v>
      </c>
      <c r="I12" s="4">
        <v>0.47222222222222221</v>
      </c>
      <c r="J12" s="25">
        <f t="shared" si="0"/>
        <v>11.166666666666666</v>
      </c>
      <c r="K12" s="5">
        <v>17</v>
      </c>
      <c r="L12" s="5">
        <v>17.399999999999999</v>
      </c>
      <c r="M12" s="5">
        <f t="shared" si="1"/>
        <v>17.2</v>
      </c>
      <c r="N12">
        <v>27</v>
      </c>
      <c r="O12">
        <v>12.9</v>
      </c>
      <c r="P12">
        <v>18.399999999999999</v>
      </c>
      <c r="Q12">
        <f t="shared" si="2"/>
        <v>19.433333333333334</v>
      </c>
      <c r="R12" t="s">
        <v>50</v>
      </c>
      <c r="S12" t="s">
        <v>50</v>
      </c>
      <c r="T12">
        <v>1</v>
      </c>
      <c r="U12" t="s">
        <v>37</v>
      </c>
      <c r="V12" s="2" t="s">
        <v>245</v>
      </c>
      <c r="W12">
        <v>1</v>
      </c>
      <c r="X12" t="s">
        <v>93</v>
      </c>
      <c r="Y12" t="s">
        <v>93</v>
      </c>
      <c r="Z12">
        <v>1</v>
      </c>
      <c r="AA12">
        <v>0</v>
      </c>
      <c r="AB12">
        <v>1</v>
      </c>
      <c r="AC12">
        <v>1</v>
      </c>
      <c r="AD12">
        <v>0</v>
      </c>
      <c r="AE12">
        <v>0</v>
      </c>
      <c r="AF12">
        <v>0</v>
      </c>
      <c r="AG12">
        <v>1</v>
      </c>
      <c r="AH12">
        <v>1</v>
      </c>
      <c r="AI12">
        <v>0</v>
      </c>
      <c r="AJ12" t="s">
        <v>145</v>
      </c>
      <c r="AK12">
        <v>3</v>
      </c>
      <c r="AL12">
        <f t="shared" si="3"/>
        <v>8</v>
      </c>
      <c r="AM12">
        <v>0</v>
      </c>
      <c r="AN12">
        <v>0</v>
      </c>
      <c r="AO12">
        <f t="shared" si="4"/>
        <v>0</v>
      </c>
    </row>
    <row r="13" spans="1:45" x14ac:dyDescent="0.3">
      <c r="A13" t="s">
        <v>257</v>
      </c>
      <c r="B13" s="17">
        <v>45967</v>
      </c>
      <c r="C13" s="6" t="s">
        <v>236</v>
      </c>
      <c r="D13" s="6">
        <v>1</v>
      </c>
      <c r="E13">
        <v>2</v>
      </c>
      <c r="F13">
        <v>1</v>
      </c>
      <c r="G13" t="str">
        <f>A13 &amp; "-" &amp; C13 &amp; "-" &amp; D13 &amp; "-" &amp; E13 &amp; "-" &amp; F13</f>
        <v>ID_12-G-1-2-1</v>
      </c>
      <c r="H13" s="4">
        <v>0.46527777777777779</v>
      </c>
      <c r="I13" s="4">
        <v>0.47222222222222221</v>
      </c>
      <c r="J13" s="25">
        <f t="shared" si="0"/>
        <v>11.166666666666666</v>
      </c>
      <c r="K13" s="5">
        <v>17</v>
      </c>
      <c r="L13" s="5">
        <v>17.399999999999999</v>
      </c>
      <c r="M13" s="5">
        <f t="shared" si="1"/>
        <v>17.2</v>
      </c>
      <c r="N13">
        <v>27</v>
      </c>
      <c r="O13">
        <v>12.9</v>
      </c>
      <c r="P13">
        <v>18.399999999999999</v>
      </c>
      <c r="Q13">
        <f t="shared" si="2"/>
        <v>19.433333333333334</v>
      </c>
      <c r="R13" t="s">
        <v>50</v>
      </c>
      <c r="S13" t="s">
        <v>50</v>
      </c>
      <c r="T13">
        <v>1</v>
      </c>
      <c r="U13" t="s">
        <v>37</v>
      </c>
      <c r="V13" s="2" t="s">
        <v>245</v>
      </c>
      <c r="W13">
        <v>1</v>
      </c>
      <c r="X13" t="s">
        <v>93</v>
      </c>
      <c r="Y13" t="s">
        <v>93</v>
      </c>
      <c r="Z13">
        <v>1</v>
      </c>
      <c r="AA13">
        <v>0</v>
      </c>
      <c r="AB13">
        <v>1</v>
      </c>
      <c r="AC13">
        <v>1</v>
      </c>
      <c r="AD13">
        <v>0</v>
      </c>
      <c r="AE13">
        <v>0</v>
      </c>
      <c r="AF13">
        <v>0</v>
      </c>
      <c r="AG13">
        <v>0</v>
      </c>
      <c r="AH13">
        <v>1</v>
      </c>
      <c r="AI13">
        <v>0</v>
      </c>
      <c r="AJ13" t="s">
        <v>141</v>
      </c>
      <c r="AK13">
        <v>2</v>
      </c>
      <c r="AL13">
        <f t="shared" si="3"/>
        <v>6</v>
      </c>
      <c r="AM13">
        <v>0</v>
      </c>
      <c r="AN13">
        <v>0</v>
      </c>
      <c r="AO13">
        <f t="shared" si="4"/>
        <v>0</v>
      </c>
    </row>
    <row r="14" spans="1:45" x14ac:dyDescent="0.3">
      <c r="A14" t="s">
        <v>258</v>
      </c>
      <c r="B14" s="17">
        <v>45967</v>
      </c>
      <c r="C14" s="6" t="s">
        <v>236</v>
      </c>
      <c r="D14" s="6">
        <v>1</v>
      </c>
      <c r="E14">
        <v>3</v>
      </c>
      <c r="F14">
        <v>1</v>
      </c>
      <c r="G14" t="str">
        <f>A14 &amp; "-" &amp; C14 &amp; "-" &amp; D14 &amp; "-" &amp; E14 &amp; "-" &amp; F14</f>
        <v>ID_13-G-1-3-1</v>
      </c>
      <c r="H14" s="4">
        <v>0.47569444444444442</v>
      </c>
      <c r="I14" s="4">
        <v>0.48333333333333334</v>
      </c>
      <c r="J14" s="25">
        <f t="shared" si="0"/>
        <v>11.416666666666666</v>
      </c>
      <c r="K14" s="5">
        <v>18.3</v>
      </c>
      <c r="L14" s="5">
        <v>19.2</v>
      </c>
      <c r="M14" s="5">
        <f t="shared" si="1"/>
        <v>18.75</v>
      </c>
      <c r="N14">
        <v>27</v>
      </c>
      <c r="O14">
        <v>12.9</v>
      </c>
      <c r="P14">
        <v>18.399999999999999</v>
      </c>
      <c r="Q14">
        <f t="shared" si="2"/>
        <v>19.433333333333334</v>
      </c>
      <c r="R14" t="s">
        <v>50</v>
      </c>
      <c r="S14" t="s">
        <v>50</v>
      </c>
      <c r="T14">
        <v>1</v>
      </c>
      <c r="U14" t="s">
        <v>26</v>
      </c>
      <c r="V14" s="2" t="s">
        <v>245</v>
      </c>
      <c r="W14">
        <v>2</v>
      </c>
      <c r="X14" t="s">
        <v>93</v>
      </c>
      <c r="Y14" t="s">
        <v>93</v>
      </c>
      <c r="Z14" s="2">
        <v>1</v>
      </c>
      <c r="AA14" s="2">
        <v>1</v>
      </c>
      <c r="AB14" s="2">
        <v>1</v>
      </c>
      <c r="AC14">
        <v>1</v>
      </c>
      <c r="AD14">
        <v>0</v>
      </c>
      <c r="AE14">
        <v>1</v>
      </c>
      <c r="AF14">
        <v>0</v>
      </c>
      <c r="AG14">
        <v>1</v>
      </c>
      <c r="AH14">
        <v>0</v>
      </c>
      <c r="AI14">
        <v>0</v>
      </c>
      <c r="AJ14" t="s">
        <v>223</v>
      </c>
      <c r="AK14">
        <v>5</v>
      </c>
      <c r="AL14">
        <f t="shared" si="3"/>
        <v>11</v>
      </c>
      <c r="AM14">
        <v>0</v>
      </c>
      <c r="AN14">
        <v>0</v>
      </c>
      <c r="AO14">
        <f t="shared" si="4"/>
        <v>0</v>
      </c>
    </row>
    <row r="15" spans="1:45" x14ac:dyDescent="0.3">
      <c r="A15" t="s">
        <v>259</v>
      </c>
      <c r="B15" s="17">
        <v>45967</v>
      </c>
      <c r="C15" s="6" t="s">
        <v>236</v>
      </c>
      <c r="D15" s="6">
        <v>1</v>
      </c>
      <c r="E15">
        <v>3</v>
      </c>
      <c r="F15">
        <v>1</v>
      </c>
      <c r="G15" t="str">
        <f>A15 &amp; "-" &amp; C15 &amp; "-" &amp; D15 &amp; "-" &amp; E15 &amp; "-" &amp; F15</f>
        <v>ID_14-G-1-3-1</v>
      </c>
      <c r="H15" s="4">
        <v>0.47569444444444442</v>
      </c>
      <c r="I15" s="4">
        <v>0.48333333333333334</v>
      </c>
      <c r="J15" s="25">
        <f t="shared" si="0"/>
        <v>11.416666666666666</v>
      </c>
      <c r="K15" s="5">
        <v>18.3</v>
      </c>
      <c r="L15" s="5">
        <v>19.2</v>
      </c>
      <c r="M15" s="5">
        <f t="shared" si="1"/>
        <v>18.75</v>
      </c>
      <c r="N15">
        <v>27</v>
      </c>
      <c r="O15">
        <v>12.9</v>
      </c>
      <c r="P15">
        <v>18.399999999999999</v>
      </c>
      <c r="Q15">
        <f t="shared" si="2"/>
        <v>19.433333333333334</v>
      </c>
      <c r="R15" t="s">
        <v>50</v>
      </c>
      <c r="S15" t="s">
        <v>50</v>
      </c>
      <c r="T15">
        <v>1</v>
      </c>
      <c r="U15" t="s">
        <v>26</v>
      </c>
      <c r="V15" s="2" t="s">
        <v>245</v>
      </c>
      <c r="W15">
        <v>2</v>
      </c>
      <c r="X15" t="s">
        <v>93</v>
      </c>
      <c r="Y15" t="s">
        <v>93</v>
      </c>
      <c r="Z15">
        <v>0</v>
      </c>
      <c r="AA15">
        <v>1</v>
      </c>
      <c r="AB15">
        <v>1</v>
      </c>
      <c r="AC15">
        <v>1</v>
      </c>
      <c r="AD15">
        <v>0</v>
      </c>
      <c r="AE15">
        <v>0</v>
      </c>
      <c r="AF15">
        <v>0</v>
      </c>
      <c r="AG15">
        <v>1</v>
      </c>
      <c r="AH15">
        <v>1</v>
      </c>
      <c r="AI15">
        <v>0</v>
      </c>
      <c r="AJ15" t="s">
        <v>146</v>
      </c>
      <c r="AK15">
        <v>5</v>
      </c>
      <c r="AL15">
        <f t="shared" si="3"/>
        <v>10</v>
      </c>
      <c r="AM15">
        <v>0</v>
      </c>
      <c r="AN15">
        <v>0</v>
      </c>
      <c r="AO15">
        <f t="shared" si="4"/>
        <v>0</v>
      </c>
    </row>
    <row r="16" spans="1:45" x14ac:dyDescent="0.3">
      <c r="A16" t="s">
        <v>260</v>
      </c>
      <c r="B16" s="17">
        <v>45967</v>
      </c>
      <c r="C16" s="6" t="s">
        <v>236</v>
      </c>
      <c r="D16" s="6">
        <v>3</v>
      </c>
      <c r="E16">
        <v>1</v>
      </c>
      <c r="F16">
        <v>1</v>
      </c>
      <c r="G16" t="str">
        <f>A16 &amp; "-" &amp; C16 &amp; "-" &amp; D16 &amp; "-" &amp; E16 &amp; "-" &amp; F16</f>
        <v>ID_15-G-3-1-1</v>
      </c>
      <c r="H16" s="4">
        <v>0.49583333333333335</v>
      </c>
      <c r="I16" s="4">
        <v>0.50347222222222221</v>
      </c>
      <c r="J16" s="25">
        <f t="shared" si="0"/>
        <v>11.9</v>
      </c>
      <c r="K16" s="5">
        <v>18.899999999999999</v>
      </c>
      <c r="L16" s="5">
        <v>19.2</v>
      </c>
      <c r="M16" s="5">
        <f t="shared" si="1"/>
        <v>19.049999999999997</v>
      </c>
      <c r="N16">
        <v>27</v>
      </c>
      <c r="O16">
        <v>12.9</v>
      </c>
      <c r="P16">
        <v>18.399999999999999</v>
      </c>
      <c r="Q16">
        <f t="shared" si="2"/>
        <v>19.433333333333334</v>
      </c>
      <c r="R16" t="s">
        <v>50</v>
      </c>
      <c r="S16" t="s">
        <v>50</v>
      </c>
      <c r="T16">
        <v>1</v>
      </c>
      <c r="U16" t="s">
        <v>26</v>
      </c>
      <c r="V16" s="2" t="s">
        <v>245</v>
      </c>
      <c r="W16">
        <v>2</v>
      </c>
      <c r="X16" s="2" t="s">
        <v>245</v>
      </c>
      <c r="Y16" s="2" t="s">
        <v>245</v>
      </c>
      <c r="Z16">
        <v>0</v>
      </c>
      <c r="AA16">
        <v>0</v>
      </c>
      <c r="AB16">
        <v>0</v>
      </c>
      <c r="AC16">
        <v>1</v>
      </c>
      <c r="AD16">
        <v>0</v>
      </c>
      <c r="AE16">
        <v>0</v>
      </c>
      <c r="AF16">
        <v>0</v>
      </c>
      <c r="AG16">
        <v>0</v>
      </c>
      <c r="AH16">
        <v>1</v>
      </c>
      <c r="AI16">
        <v>0</v>
      </c>
      <c r="AJ16" t="s">
        <v>142</v>
      </c>
      <c r="AK16">
        <v>2</v>
      </c>
      <c r="AL16">
        <f t="shared" si="3"/>
        <v>4</v>
      </c>
      <c r="AM16">
        <v>0</v>
      </c>
      <c r="AN16">
        <v>0</v>
      </c>
      <c r="AO16">
        <f t="shared" si="4"/>
        <v>0</v>
      </c>
    </row>
    <row r="17" spans="1:41" x14ac:dyDescent="0.3">
      <c r="A17" t="s">
        <v>261</v>
      </c>
      <c r="B17" s="17">
        <v>45967</v>
      </c>
      <c r="C17" s="6" t="s">
        <v>236</v>
      </c>
      <c r="D17" s="6">
        <v>3</v>
      </c>
      <c r="E17">
        <v>1</v>
      </c>
      <c r="F17">
        <v>1</v>
      </c>
      <c r="G17" t="str">
        <f>A17 &amp; "-" &amp; C17 &amp; "-" &amp; D17 &amp; "-" &amp; E17 &amp; "-" &amp; F17</f>
        <v>ID_16-G-3-1-1</v>
      </c>
      <c r="H17" s="4">
        <v>0.49583333333333335</v>
      </c>
      <c r="I17" s="4">
        <v>0.50347222222222221</v>
      </c>
      <c r="J17" s="25">
        <f t="shared" si="0"/>
        <v>11.9</v>
      </c>
      <c r="K17" s="5">
        <v>18.899999999999999</v>
      </c>
      <c r="L17" s="5">
        <v>19.2</v>
      </c>
      <c r="M17" s="5">
        <f t="shared" si="1"/>
        <v>19.049999999999997</v>
      </c>
      <c r="N17">
        <v>27</v>
      </c>
      <c r="O17">
        <v>12.9</v>
      </c>
      <c r="P17">
        <v>18.399999999999999</v>
      </c>
      <c r="Q17">
        <f t="shared" si="2"/>
        <v>19.433333333333334</v>
      </c>
      <c r="R17" t="s">
        <v>50</v>
      </c>
      <c r="S17" t="s">
        <v>50</v>
      </c>
      <c r="T17">
        <v>1</v>
      </c>
      <c r="U17" t="s">
        <v>26</v>
      </c>
      <c r="V17" s="2" t="s">
        <v>245</v>
      </c>
      <c r="W17">
        <v>2</v>
      </c>
      <c r="X17" s="2" t="s">
        <v>245</v>
      </c>
      <c r="Y17" s="2" t="s">
        <v>245</v>
      </c>
      <c r="Z17">
        <v>0</v>
      </c>
      <c r="AA17">
        <v>1</v>
      </c>
      <c r="AB17">
        <v>1</v>
      </c>
      <c r="AC17">
        <v>0</v>
      </c>
      <c r="AD17">
        <v>0</v>
      </c>
      <c r="AE17">
        <v>0</v>
      </c>
      <c r="AF17">
        <v>0</v>
      </c>
      <c r="AG17">
        <v>1</v>
      </c>
      <c r="AH17">
        <v>0</v>
      </c>
      <c r="AI17">
        <v>0</v>
      </c>
      <c r="AJ17" t="s">
        <v>36</v>
      </c>
      <c r="AK17">
        <v>0</v>
      </c>
      <c r="AL17">
        <f t="shared" si="3"/>
        <v>3</v>
      </c>
      <c r="AM17">
        <v>0</v>
      </c>
      <c r="AN17">
        <v>0</v>
      </c>
      <c r="AO17">
        <f t="shared" si="4"/>
        <v>0</v>
      </c>
    </row>
    <row r="18" spans="1:41" x14ac:dyDescent="0.3">
      <c r="A18" t="s">
        <v>262</v>
      </c>
      <c r="B18" s="17">
        <v>45967</v>
      </c>
      <c r="C18" s="6" t="s">
        <v>236</v>
      </c>
      <c r="D18" s="6">
        <v>3</v>
      </c>
      <c r="E18">
        <v>2</v>
      </c>
      <c r="F18">
        <v>1</v>
      </c>
      <c r="G18" t="str">
        <f>A18 &amp; "-" &amp; C18 &amp; "-" &amp; D18 &amp; "-" &amp; E18 &amp; "-" &amp; F18</f>
        <v>ID_17-G-3-2-1</v>
      </c>
      <c r="H18" s="4">
        <v>0.50763888888888886</v>
      </c>
      <c r="I18" s="4">
        <v>0.51527777777777772</v>
      </c>
      <c r="J18" s="25">
        <f t="shared" si="0"/>
        <v>12.183333333333334</v>
      </c>
      <c r="K18" s="5">
        <v>19.2</v>
      </c>
      <c r="L18" s="5">
        <v>20</v>
      </c>
      <c r="M18" s="5">
        <f t="shared" si="1"/>
        <v>19.600000000000001</v>
      </c>
      <c r="N18">
        <v>27</v>
      </c>
      <c r="O18">
        <v>12.9</v>
      </c>
      <c r="P18">
        <v>18.399999999999999</v>
      </c>
      <c r="Q18">
        <f t="shared" si="2"/>
        <v>19.433333333333334</v>
      </c>
      <c r="R18" t="s">
        <v>56</v>
      </c>
      <c r="S18" t="s">
        <v>56</v>
      </c>
      <c r="T18">
        <v>0</v>
      </c>
      <c r="U18" t="s">
        <v>37</v>
      </c>
      <c r="V18" s="2" t="s">
        <v>245</v>
      </c>
      <c r="W18">
        <v>1</v>
      </c>
      <c r="X18" s="2" t="s">
        <v>245</v>
      </c>
      <c r="Y18" s="2" t="s">
        <v>245</v>
      </c>
      <c r="Z18">
        <v>0</v>
      </c>
      <c r="AA18">
        <v>1</v>
      </c>
      <c r="AB18">
        <v>1</v>
      </c>
      <c r="AC18">
        <v>1</v>
      </c>
      <c r="AD18">
        <v>0</v>
      </c>
      <c r="AE18">
        <v>0</v>
      </c>
      <c r="AF18">
        <v>0</v>
      </c>
      <c r="AG18">
        <v>1</v>
      </c>
      <c r="AH18">
        <v>0</v>
      </c>
      <c r="AI18">
        <v>0</v>
      </c>
      <c r="AJ18" t="s">
        <v>208</v>
      </c>
      <c r="AK18">
        <v>4</v>
      </c>
      <c r="AL18">
        <f t="shared" si="3"/>
        <v>8</v>
      </c>
      <c r="AM18">
        <v>0</v>
      </c>
      <c r="AN18">
        <v>0</v>
      </c>
      <c r="AO18">
        <f t="shared" si="4"/>
        <v>0</v>
      </c>
    </row>
    <row r="19" spans="1:41" x14ac:dyDescent="0.3">
      <c r="A19" t="s">
        <v>263</v>
      </c>
      <c r="B19" s="17">
        <v>45967</v>
      </c>
      <c r="C19" s="6" t="s">
        <v>236</v>
      </c>
      <c r="D19" s="6">
        <v>3</v>
      </c>
      <c r="E19">
        <v>2</v>
      </c>
      <c r="F19">
        <v>1</v>
      </c>
      <c r="G19" t="str">
        <f>A19 &amp; "-" &amp; C19 &amp; "-" &amp; D19 &amp; "-" &amp; E19 &amp; "-" &amp; F19</f>
        <v>ID_18-G-3-2-1</v>
      </c>
      <c r="H19" s="4">
        <v>0.50763888888888886</v>
      </c>
      <c r="I19" s="4">
        <v>0.51527777777777772</v>
      </c>
      <c r="J19" s="25">
        <f t="shared" si="0"/>
        <v>12.183333333333334</v>
      </c>
      <c r="K19" s="5">
        <v>19.2</v>
      </c>
      <c r="L19" s="5">
        <v>20</v>
      </c>
      <c r="M19" s="5">
        <f t="shared" si="1"/>
        <v>19.600000000000001</v>
      </c>
      <c r="N19">
        <v>27</v>
      </c>
      <c r="O19">
        <v>12.9</v>
      </c>
      <c r="P19">
        <v>18.399999999999999</v>
      </c>
      <c r="Q19">
        <f t="shared" si="2"/>
        <v>19.433333333333334</v>
      </c>
      <c r="R19" t="s">
        <v>56</v>
      </c>
      <c r="S19" t="s">
        <v>56</v>
      </c>
      <c r="T19">
        <v>0</v>
      </c>
      <c r="U19" t="s">
        <v>37</v>
      </c>
      <c r="V19" s="2" t="s">
        <v>245</v>
      </c>
      <c r="W19">
        <v>1</v>
      </c>
      <c r="X19" s="2" t="s">
        <v>245</v>
      </c>
      <c r="Y19" s="2" t="s">
        <v>245</v>
      </c>
      <c r="Z19">
        <v>0</v>
      </c>
      <c r="AA19">
        <v>0</v>
      </c>
      <c r="AB19">
        <v>1</v>
      </c>
      <c r="AC19">
        <v>1</v>
      </c>
      <c r="AD19">
        <v>0</v>
      </c>
      <c r="AE19">
        <v>1</v>
      </c>
      <c r="AF19">
        <v>0</v>
      </c>
      <c r="AG19">
        <v>1</v>
      </c>
      <c r="AH19">
        <v>0</v>
      </c>
      <c r="AI19">
        <v>0</v>
      </c>
      <c r="AJ19" t="s">
        <v>233</v>
      </c>
      <c r="AK19">
        <v>1</v>
      </c>
      <c r="AL19">
        <f t="shared" si="3"/>
        <v>5</v>
      </c>
      <c r="AM19">
        <v>0</v>
      </c>
      <c r="AN19">
        <v>0</v>
      </c>
      <c r="AO19">
        <f t="shared" si="4"/>
        <v>0</v>
      </c>
    </row>
    <row r="20" spans="1:41" x14ac:dyDescent="0.3">
      <c r="A20" t="s">
        <v>264</v>
      </c>
      <c r="B20" s="17">
        <v>45967</v>
      </c>
      <c r="C20" s="6" t="s">
        <v>236</v>
      </c>
      <c r="D20" s="6">
        <v>4</v>
      </c>
      <c r="E20">
        <v>1</v>
      </c>
      <c r="F20">
        <v>1</v>
      </c>
      <c r="G20" t="str">
        <f>A20 &amp; "-" &amp; C20 &amp; "-" &amp; D20 &amp; "-" &amp; E20 &amp; "-" &amp; F20</f>
        <v>ID_19-G-4-1-1</v>
      </c>
      <c r="H20" s="4">
        <v>0.57013888888888886</v>
      </c>
      <c r="I20" s="4">
        <v>0.57708333333333328</v>
      </c>
      <c r="J20" s="25">
        <f t="shared" si="0"/>
        <v>13.683333333333334</v>
      </c>
      <c r="K20" s="5">
        <v>21.5</v>
      </c>
      <c r="L20" s="5">
        <v>21.7</v>
      </c>
      <c r="M20" s="5">
        <f t="shared" si="1"/>
        <v>21.6</v>
      </c>
      <c r="N20">
        <v>27</v>
      </c>
      <c r="O20">
        <v>12.9</v>
      </c>
      <c r="P20">
        <v>18.399999999999999</v>
      </c>
      <c r="Q20">
        <f t="shared" si="2"/>
        <v>19.433333333333334</v>
      </c>
      <c r="R20" t="s">
        <v>50</v>
      </c>
      <c r="S20" t="s">
        <v>50</v>
      </c>
      <c r="T20">
        <v>1</v>
      </c>
      <c r="U20" t="s">
        <v>37</v>
      </c>
      <c r="V20" s="2" t="s">
        <v>245</v>
      </c>
      <c r="W20">
        <v>1</v>
      </c>
      <c r="X20" s="2" t="s">
        <v>245</v>
      </c>
      <c r="Y20" s="2" t="s">
        <v>245</v>
      </c>
      <c r="Z20">
        <v>1</v>
      </c>
      <c r="AA20">
        <v>0</v>
      </c>
      <c r="AB20">
        <v>1</v>
      </c>
      <c r="AC20">
        <v>1</v>
      </c>
      <c r="AD20">
        <v>0</v>
      </c>
      <c r="AE20">
        <v>1</v>
      </c>
      <c r="AF20">
        <v>0</v>
      </c>
      <c r="AG20">
        <v>0</v>
      </c>
      <c r="AH20">
        <v>1</v>
      </c>
      <c r="AI20">
        <v>0</v>
      </c>
      <c r="AJ20" t="s">
        <v>36</v>
      </c>
      <c r="AK20">
        <v>0</v>
      </c>
      <c r="AL20">
        <f t="shared" si="3"/>
        <v>5</v>
      </c>
      <c r="AM20">
        <v>0</v>
      </c>
      <c r="AN20">
        <v>0</v>
      </c>
      <c r="AO20">
        <f t="shared" si="4"/>
        <v>0</v>
      </c>
    </row>
    <row r="21" spans="1:41" x14ac:dyDescent="0.3">
      <c r="A21" t="s">
        <v>265</v>
      </c>
      <c r="B21" s="17">
        <v>45967</v>
      </c>
      <c r="C21" s="6" t="s">
        <v>236</v>
      </c>
      <c r="D21" s="6">
        <v>4</v>
      </c>
      <c r="E21">
        <v>1</v>
      </c>
      <c r="F21">
        <v>1</v>
      </c>
      <c r="G21" t="str">
        <f>A21 &amp; "-" &amp; C21 &amp; "-" &amp; D21 &amp; "-" &amp; E21 &amp; "-" &amp; F21</f>
        <v>ID_20-G-4-1-1</v>
      </c>
      <c r="H21" s="4">
        <v>0.57013888888888886</v>
      </c>
      <c r="I21" s="4">
        <v>0.57708333333333328</v>
      </c>
      <c r="J21" s="25">
        <f t="shared" si="0"/>
        <v>13.683333333333334</v>
      </c>
      <c r="K21" s="5">
        <v>21.5</v>
      </c>
      <c r="L21" s="5">
        <v>21.7</v>
      </c>
      <c r="M21" s="5">
        <f t="shared" si="1"/>
        <v>21.6</v>
      </c>
      <c r="N21">
        <v>27</v>
      </c>
      <c r="O21">
        <v>12.9</v>
      </c>
      <c r="P21">
        <v>18.399999999999999</v>
      </c>
      <c r="Q21">
        <f t="shared" si="2"/>
        <v>19.433333333333334</v>
      </c>
      <c r="R21" t="s">
        <v>50</v>
      </c>
      <c r="S21" t="s">
        <v>50</v>
      </c>
      <c r="T21">
        <v>1</v>
      </c>
      <c r="U21" t="s">
        <v>37</v>
      </c>
      <c r="V21" s="2" t="s">
        <v>245</v>
      </c>
      <c r="W21">
        <v>1</v>
      </c>
      <c r="X21" s="2" t="s">
        <v>245</v>
      </c>
      <c r="Y21" s="2" t="s">
        <v>245</v>
      </c>
      <c r="Z21">
        <v>1</v>
      </c>
      <c r="AA21">
        <v>0</v>
      </c>
      <c r="AB21">
        <v>1</v>
      </c>
      <c r="AC21">
        <v>1</v>
      </c>
      <c r="AD21">
        <v>0</v>
      </c>
      <c r="AE21">
        <v>0</v>
      </c>
      <c r="AF21">
        <v>0</v>
      </c>
      <c r="AG21">
        <v>1</v>
      </c>
      <c r="AH21">
        <v>1</v>
      </c>
      <c r="AI21">
        <v>0</v>
      </c>
      <c r="AJ21" t="s">
        <v>198</v>
      </c>
      <c r="AK21">
        <v>3</v>
      </c>
      <c r="AL21">
        <f t="shared" si="3"/>
        <v>8</v>
      </c>
      <c r="AM21">
        <v>0</v>
      </c>
      <c r="AN21">
        <v>0</v>
      </c>
      <c r="AO21">
        <f t="shared" si="4"/>
        <v>0</v>
      </c>
    </row>
    <row r="22" spans="1:41" x14ac:dyDescent="0.3">
      <c r="A22" t="s">
        <v>266</v>
      </c>
      <c r="B22" s="17">
        <v>45967</v>
      </c>
      <c r="C22" s="6" t="s">
        <v>236</v>
      </c>
      <c r="D22" s="6">
        <v>4</v>
      </c>
      <c r="E22">
        <v>1</v>
      </c>
      <c r="F22">
        <v>2</v>
      </c>
      <c r="G22" t="str">
        <f>A22 &amp; "-" &amp; C22 &amp; "-" &amp; D22 &amp; "-" &amp; E22 &amp; "-" &amp; F22</f>
        <v>ID_21-G-4-1-2</v>
      </c>
      <c r="H22" s="4">
        <v>0.57847222222222228</v>
      </c>
      <c r="I22" s="4">
        <v>0.5854166666666667</v>
      </c>
      <c r="J22" s="25">
        <f t="shared" si="0"/>
        <v>13.883333333333333</v>
      </c>
      <c r="K22" s="5">
        <v>21.7</v>
      </c>
      <c r="L22" s="5">
        <v>22</v>
      </c>
      <c r="M22" s="5">
        <f t="shared" si="1"/>
        <v>21.85</v>
      </c>
      <c r="N22">
        <v>27</v>
      </c>
      <c r="O22">
        <v>12.9</v>
      </c>
      <c r="P22">
        <v>18.399999999999999</v>
      </c>
      <c r="Q22">
        <f t="shared" si="2"/>
        <v>19.433333333333334</v>
      </c>
      <c r="R22" t="s">
        <v>50</v>
      </c>
      <c r="S22" t="s">
        <v>50</v>
      </c>
      <c r="T22">
        <v>1</v>
      </c>
      <c r="U22" t="s">
        <v>37</v>
      </c>
      <c r="V22" s="2" t="s">
        <v>245</v>
      </c>
      <c r="W22">
        <v>1</v>
      </c>
      <c r="X22" s="2" t="s">
        <v>245</v>
      </c>
      <c r="Y22" s="2" t="s">
        <v>245</v>
      </c>
      <c r="Z22">
        <v>1</v>
      </c>
      <c r="AA22">
        <v>0</v>
      </c>
      <c r="AB22">
        <v>1</v>
      </c>
      <c r="AC22">
        <v>0</v>
      </c>
      <c r="AD22">
        <v>0</v>
      </c>
      <c r="AE22">
        <v>0</v>
      </c>
      <c r="AF22">
        <v>0</v>
      </c>
      <c r="AG22">
        <v>1</v>
      </c>
      <c r="AH22">
        <v>1</v>
      </c>
      <c r="AI22">
        <v>0</v>
      </c>
      <c r="AJ22" t="s">
        <v>155</v>
      </c>
      <c r="AK22">
        <v>4</v>
      </c>
      <c r="AL22">
        <f t="shared" si="3"/>
        <v>8</v>
      </c>
      <c r="AM22">
        <v>0</v>
      </c>
      <c r="AN22">
        <v>0</v>
      </c>
      <c r="AO22">
        <f t="shared" si="4"/>
        <v>0</v>
      </c>
    </row>
    <row r="23" spans="1:41" x14ac:dyDescent="0.3">
      <c r="A23" t="s">
        <v>267</v>
      </c>
      <c r="B23" s="17">
        <v>45967</v>
      </c>
      <c r="C23" s="6" t="s">
        <v>236</v>
      </c>
      <c r="D23" s="6">
        <v>4</v>
      </c>
      <c r="E23">
        <v>1</v>
      </c>
      <c r="F23">
        <v>2</v>
      </c>
      <c r="G23" t="str">
        <f>A23 &amp; "-" &amp; C23 &amp; "-" &amp; D23 &amp; "-" &amp; E23 &amp; "-" &amp; F23</f>
        <v>ID_22-G-4-1-2</v>
      </c>
      <c r="H23" s="4">
        <v>0.57847222222222228</v>
      </c>
      <c r="I23" s="4">
        <v>0.58611111111111114</v>
      </c>
      <c r="J23" s="25">
        <f t="shared" si="0"/>
        <v>13.883333333333333</v>
      </c>
      <c r="K23" s="5">
        <v>21.7</v>
      </c>
      <c r="L23" s="5">
        <v>22</v>
      </c>
      <c r="M23" s="5">
        <f t="shared" si="1"/>
        <v>21.85</v>
      </c>
      <c r="N23">
        <v>27</v>
      </c>
      <c r="O23">
        <v>12.9</v>
      </c>
      <c r="P23">
        <v>18.399999999999999</v>
      </c>
      <c r="Q23">
        <f t="shared" si="2"/>
        <v>19.433333333333334</v>
      </c>
      <c r="R23" t="s">
        <v>50</v>
      </c>
      <c r="S23" t="s">
        <v>50</v>
      </c>
      <c r="T23">
        <v>1</v>
      </c>
      <c r="U23" t="s">
        <v>37</v>
      </c>
      <c r="V23" s="2" t="s">
        <v>245</v>
      </c>
      <c r="W23">
        <v>1</v>
      </c>
      <c r="X23" s="2" t="s">
        <v>245</v>
      </c>
      <c r="Y23" s="2" t="s">
        <v>245</v>
      </c>
      <c r="Z23">
        <v>0</v>
      </c>
      <c r="AA23">
        <v>0</v>
      </c>
      <c r="AB23">
        <v>1</v>
      </c>
      <c r="AC23">
        <v>1</v>
      </c>
      <c r="AD23">
        <v>0</v>
      </c>
      <c r="AE23">
        <v>0</v>
      </c>
      <c r="AF23">
        <v>0</v>
      </c>
      <c r="AG23">
        <v>0</v>
      </c>
      <c r="AH23">
        <v>1</v>
      </c>
      <c r="AI23">
        <v>1</v>
      </c>
      <c r="AJ23" t="s">
        <v>235</v>
      </c>
      <c r="AK23">
        <v>3</v>
      </c>
      <c r="AL23">
        <f t="shared" si="3"/>
        <v>7</v>
      </c>
      <c r="AM23">
        <v>0</v>
      </c>
      <c r="AN23">
        <v>0</v>
      </c>
      <c r="AO23">
        <f t="shared" si="4"/>
        <v>0</v>
      </c>
    </row>
    <row r="24" spans="1:41" x14ac:dyDescent="0.3">
      <c r="A24" t="s">
        <v>268</v>
      </c>
      <c r="B24" s="17">
        <v>45967</v>
      </c>
      <c r="C24" s="6" t="s">
        <v>236</v>
      </c>
      <c r="D24" s="6">
        <v>5</v>
      </c>
      <c r="E24">
        <v>1</v>
      </c>
      <c r="F24">
        <v>1</v>
      </c>
      <c r="G24" t="str">
        <f>A24 &amp; "-" &amp; C24 &amp; "-" &amp; D24 &amp; "-" &amp; E24 &amp; "-" &amp; F24</f>
        <v>ID_23-G-5-1-1</v>
      </c>
      <c r="H24" s="4">
        <v>0.54305555555555551</v>
      </c>
      <c r="I24" s="4">
        <v>0.55138888888888893</v>
      </c>
      <c r="J24" s="25">
        <f t="shared" si="0"/>
        <v>13.033333333333333</v>
      </c>
      <c r="K24" s="5">
        <v>20.9</v>
      </c>
      <c r="L24" s="5">
        <v>21.2</v>
      </c>
      <c r="M24" s="5">
        <f t="shared" si="1"/>
        <v>21.049999999999997</v>
      </c>
      <c r="N24">
        <v>27</v>
      </c>
      <c r="O24">
        <v>12.9</v>
      </c>
      <c r="P24">
        <v>18.399999999999999</v>
      </c>
      <c r="Q24">
        <f t="shared" si="2"/>
        <v>19.433333333333334</v>
      </c>
      <c r="R24" t="s">
        <v>50</v>
      </c>
      <c r="S24" t="s">
        <v>50</v>
      </c>
      <c r="T24">
        <v>1</v>
      </c>
      <c r="U24" t="s">
        <v>26</v>
      </c>
      <c r="V24" s="2" t="s">
        <v>245</v>
      </c>
      <c r="W24">
        <v>2</v>
      </c>
      <c r="X24" s="2" t="s">
        <v>245</v>
      </c>
      <c r="Y24" s="2" t="s">
        <v>245</v>
      </c>
      <c r="Z24">
        <v>0</v>
      </c>
      <c r="AA24">
        <v>0</v>
      </c>
      <c r="AB24">
        <v>1</v>
      </c>
      <c r="AC24">
        <v>1</v>
      </c>
      <c r="AD24">
        <v>0</v>
      </c>
      <c r="AE24">
        <v>0</v>
      </c>
      <c r="AF24">
        <v>0</v>
      </c>
      <c r="AG24">
        <v>1</v>
      </c>
      <c r="AH24">
        <v>1</v>
      </c>
      <c r="AI24">
        <v>0</v>
      </c>
      <c r="AJ24" t="s">
        <v>29</v>
      </c>
      <c r="AK24">
        <v>1</v>
      </c>
      <c r="AL24">
        <f t="shared" si="3"/>
        <v>5</v>
      </c>
      <c r="AM24">
        <v>0</v>
      </c>
      <c r="AN24">
        <v>0</v>
      </c>
      <c r="AO24">
        <f t="shared" si="4"/>
        <v>0</v>
      </c>
    </row>
    <row r="25" spans="1:41" x14ac:dyDescent="0.3">
      <c r="A25" t="s">
        <v>269</v>
      </c>
      <c r="B25" s="17">
        <v>45967</v>
      </c>
      <c r="C25" s="6" t="s">
        <v>236</v>
      </c>
      <c r="D25" s="6">
        <v>5</v>
      </c>
      <c r="E25">
        <v>1</v>
      </c>
      <c r="F25">
        <v>1</v>
      </c>
      <c r="G25" t="str">
        <f>A25 &amp; "-" &amp; C25 &amp; "-" &amp; D25 &amp; "-" &amp; E25 &amp; "-" &amp; F25</f>
        <v>ID_24-G-5-1-1</v>
      </c>
      <c r="H25" s="4">
        <v>0.54305555555555551</v>
      </c>
      <c r="I25" s="4">
        <v>0.55138888888888893</v>
      </c>
      <c r="J25" s="25">
        <f t="shared" si="0"/>
        <v>13.033333333333333</v>
      </c>
      <c r="K25" s="5">
        <v>20.9</v>
      </c>
      <c r="L25" s="5">
        <v>21.2</v>
      </c>
      <c r="M25" s="5">
        <f t="shared" si="1"/>
        <v>21.049999999999997</v>
      </c>
      <c r="N25">
        <v>27</v>
      </c>
      <c r="O25">
        <v>12.9</v>
      </c>
      <c r="P25">
        <v>18.399999999999999</v>
      </c>
      <c r="Q25">
        <f t="shared" si="2"/>
        <v>19.433333333333334</v>
      </c>
      <c r="R25" t="s">
        <v>50</v>
      </c>
      <c r="S25" t="s">
        <v>50</v>
      </c>
      <c r="T25">
        <v>1</v>
      </c>
      <c r="U25" t="s">
        <v>26</v>
      </c>
      <c r="V25" s="2" t="s">
        <v>245</v>
      </c>
      <c r="W25">
        <v>2</v>
      </c>
      <c r="X25" s="2" t="s">
        <v>245</v>
      </c>
      <c r="Y25" s="2" t="s">
        <v>245</v>
      </c>
      <c r="Z25">
        <v>1</v>
      </c>
      <c r="AA25">
        <v>0</v>
      </c>
      <c r="AB25">
        <v>1</v>
      </c>
      <c r="AC25">
        <v>0</v>
      </c>
      <c r="AD25">
        <v>0</v>
      </c>
      <c r="AE25">
        <v>0</v>
      </c>
      <c r="AF25">
        <v>0</v>
      </c>
      <c r="AG25">
        <v>1</v>
      </c>
      <c r="AH25">
        <v>1</v>
      </c>
      <c r="AI25">
        <v>0</v>
      </c>
      <c r="AJ25" t="s">
        <v>36</v>
      </c>
      <c r="AK25">
        <v>0</v>
      </c>
      <c r="AL25">
        <f t="shared" si="3"/>
        <v>4</v>
      </c>
      <c r="AM25">
        <v>0</v>
      </c>
      <c r="AN25">
        <v>0</v>
      </c>
      <c r="AO25">
        <f t="shared" si="4"/>
        <v>0</v>
      </c>
    </row>
    <row r="26" spans="1:41" x14ac:dyDescent="0.3">
      <c r="A26" t="s">
        <v>270</v>
      </c>
      <c r="B26" s="17">
        <v>45967</v>
      </c>
      <c r="C26" s="6" t="s">
        <v>236</v>
      </c>
      <c r="D26" s="6">
        <v>5</v>
      </c>
      <c r="E26">
        <v>2</v>
      </c>
      <c r="F26">
        <v>1</v>
      </c>
      <c r="G26" t="str">
        <f>A26 &amp; "-" &amp; C26 &amp; "-" &amp; D26 &amp; "-" &amp; E26 &amp; "-" &amp; F26</f>
        <v>ID_25-G-5-2-1</v>
      </c>
      <c r="H26" s="4">
        <v>0.5541666666666667</v>
      </c>
      <c r="I26" s="4">
        <v>0.56111111111111112</v>
      </c>
      <c r="J26" s="25">
        <f t="shared" si="0"/>
        <v>13.3</v>
      </c>
      <c r="K26" s="5">
        <v>21.2</v>
      </c>
      <c r="L26" s="5">
        <v>21.2</v>
      </c>
      <c r="M26" s="5">
        <f t="shared" si="1"/>
        <v>21.2</v>
      </c>
      <c r="N26">
        <v>27</v>
      </c>
      <c r="O26">
        <v>12.9</v>
      </c>
      <c r="P26">
        <v>18.399999999999999</v>
      </c>
      <c r="Q26">
        <f t="shared" si="2"/>
        <v>19.433333333333334</v>
      </c>
      <c r="R26" t="s">
        <v>50</v>
      </c>
      <c r="S26" t="s">
        <v>50</v>
      </c>
      <c r="T26">
        <v>1</v>
      </c>
      <c r="U26" t="s">
        <v>37</v>
      </c>
      <c r="V26" s="2" t="s">
        <v>245</v>
      </c>
      <c r="W26">
        <v>1</v>
      </c>
      <c r="X26" s="2" t="s">
        <v>245</v>
      </c>
      <c r="Y26" s="2" t="s">
        <v>245</v>
      </c>
      <c r="Z26">
        <v>0</v>
      </c>
      <c r="AA26">
        <v>0</v>
      </c>
      <c r="AB26">
        <v>1</v>
      </c>
      <c r="AC26">
        <v>1</v>
      </c>
      <c r="AD26">
        <v>0</v>
      </c>
      <c r="AE26">
        <v>0</v>
      </c>
      <c r="AF26">
        <v>1</v>
      </c>
      <c r="AG26">
        <v>1</v>
      </c>
      <c r="AH26">
        <v>1</v>
      </c>
      <c r="AI26">
        <v>0</v>
      </c>
      <c r="AJ26" t="s">
        <v>234</v>
      </c>
      <c r="AK26">
        <v>1</v>
      </c>
      <c r="AL26">
        <f t="shared" si="3"/>
        <v>6</v>
      </c>
      <c r="AM26">
        <v>0</v>
      </c>
      <c r="AN26">
        <v>0</v>
      </c>
      <c r="AO26">
        <f t="shared" si="4"/>
        <v>0</v>
      </c>
    </row>
    <row r="27" spans="1:41" x14ac:dyDescent="0.3">
      <c r="A27" t="s">
        <v>271</v>
      </c>
      <c r="B27" s="17">
        <v>45967</v>
      </c>
      <c r="C27" s="6" t="s">
        <v>236</v>
      </c>
      <c r="D27" s="6">
        <v>5</v>
      </c>
      <c r="E27">
        <v>2</v>
      </c>
      <c r="F27">
        <v>1</v>
      </c>
      <c r="G27" t="str">
        <f>A27 &amp; "-" &amp; C27 &amp; "-" &amp; D27 &amp; "-" &amp; E27 &amp; "-" &amp; F27</f>
        <v>ID_26-G-5-2-1</v>
      </c>
      <c r="H27" s="4">
        <v>0.5541666666666667</v>
      </c>
      <c r="I27" s="4">
        <v>0.56111111111111112</v>
      </c>
      <c r="J27" s="25">
        <f t="shared" si="0"/>
        <v>13.3</v>
      </c>
      <c r="K27" s="5">
        <v>21.2</v>
      </c>
      <c r="L27" s="5">
        <v>21.2</v>
      </c>
      <c r="M27" s="5">
        <f t="shared" si="1"/>
        <v>21.2</v>
      </c>
      <c r="N27">
        <v>27</v>
      </c>
      <c r="O27">
        <v>12.9</v>
      </c>
      <c r="P27">
        <v>18.399999999999999</v>
      </c>
      <c r="Q27">
        <f t="shared" si="2"/>
        <v>19.433333333333334</v>
      </c>
      <c r="R27" t="s">
        <v>50</v>
      </c>
      <c r="S27" t="s">
        <v>50</v>
      </c>
      <c r="T27">
        <v>1</v>
      </c>
      <c r="U27" t="s">
        <v>37</v>
      </c>
      <c r="V27" s="2" t="s">
        <v>245</v>
      </c>
      <c r="W27">
        <v>1</v>
      </c>
      <c r="X27" s="2" t="s">
        <v>245</v>
      </c>
      <c r="Y27" s="2" t="s">
        <v>245</v>
      </c>
      <c r="Z27">
        <v>0</v>
      </c>
      <c r="AA27">
        <v>0</v>
      </c>
      <c r="AB27">
        <v>1</v>
      </c>
      <c r="AC27">
        <v>1</v>
      </c>
      <c r="AD27">
        <v>0</v>
      </c>
      <c r="AE27">
        <v>0</v>
      </c>
      <c r="AF27">
        <v>0</v>
      </c>
      <c r="AG27">
        <v>0</v>
      </c>
      <c r="AH27">
        <v>1</v>
      </c>
      <c r="AI27">
        <v>0</v>
      </c>
      <c r="AJ27" t="s">
        <v>148</v>
      </c>
      <c r="AK27">
        <v>4</v>
      </c>
      <c r="AL27">
        <f t="shared" si="3"/>
        <v>7</v>
      </c>
      <c r="AM27">
        <v>0</v>
      </c>
      <c r="AN27">
        <v>0</v>
      </c>
      <c r="AO27">
        <f t="shared" si="4"/>
        <v>0</v>
      </c>
    </row>
    <row r="28" spans="1:41" x14ac:dyDescent="0.3">
      <c r="A28" t="s">
        <v>272</v>
      </c>
      <c r="B28" s="22">
        <v>45967</v>
      </c>
      <c r="C28" s="6" t="s">
        <v>236</v>
      </c>
      <c r="D28" s="6">
        <v>6</v>
      </c>
      <c r="E28">
        <v>1</v>
      </c>
      <c r="F28">
        <v>1</v>
      </c>
      <c r="G28" t="str">
        <f>A28 &amp; "-" &amp; C28 &amp; "-" &amp; D28 &amp; "-" &amp; E28 &amp; "-" &amp; F28</f>
        <v>ID_27-G-6-1-1</v>
      </c>
      <c r="H28" s="4">
        <v>0.59722222222222221</v>
      </c>
      <c r="I28" s="4">
        <v>0.60416666666666663</v>
      </c>
      <c r="J28" s="25">
        <f t="shared" si="0"/>
        <v>14.333333333333334</v>
      </c>
      <c r="K28" s="5">
        <v>22.5</v>
      </c>
      <c r="L28" s="5">
        <v>22</v>
      </c>
      <c r="M28" s="5">
        <f t="shared" si="1"/>
        <v>22.25</v>
      </c>
      <c r="N28">
        <v>27</v>
      </c>
      <c r="O28">
        <v>12.9</v>
      </c>
      <c r="P28">
        <v>18.399999999999999</v>
      </c>
      <c r="Q28">
        <f t="shared" si="2"/>
        <v>19.433333333333334</v>
      </c>
      <c r="R28" t="s">
        <v>50</v>
      </c>
      <c r="S28" t="s">
        <v>50</v>
      </c>
      <c r="T28">
        <v>1</v>
      </c>
      <c r="U28" t="s">
        <v>35</v>
      </c>
      <c r="V28" t="s">
        <v>245</v>
      </c>
      <c r="W28">
        <v>3</v>
      </c>
      <c r="X28" t="s">
        <v>245</v>
      </c>
      <c r="Y28" t="s">
        <v>245</v>
      </c>
      <c r="Z28">
        <v>1</v>
      </c>
      <c r="AA28">
        <v>1</v>
      </c>
      <c r="AB28">
        <v>1</v>
      </c>
      <c r="AC28">
        <v>1</v>
      </c>
      <c r="AD28">
        <v>0</v>
      </c>
      <c r="AE28">
        <v>0</v>
      </c>
      <c r="AF28">
        <v>0</v>
      </c>
      <c r="AG28">
        <v>0</v>
      </c>
      <c r="AH28">
        <v>1</v>
      </c>
      <c r="AI28">
        <v>0</v>
      </c>
      <c r="AJ28" t="s">
        <v>143</v>
      </c>
      <c r="AK28">
        <v>3</v>
      </c>
      <c r="AL28">
        <f t="shared" si="3"/>
        <v>8</v>
      </c>
      <c r="AM28">
        <v>0</v>
      </c>
      <c r="AN28">
        <v>0</v>
      </c>
      <c r="AO28">
        <f t="shared" si="4"/>
        <v>0</v>
      </c>
    </row>
    <row r="29" spans="1:41" x14ac:dyDescent="0.3">
      <c r="A29" t="s">
        <v>273</v>
      </c>
      <c r="B29" s="21">
        <v>45967</v>
      </c>
      <c r="C29" s="6" t="s">
        <v>236</v>
      </c>
      <c r="D29" s="6">
        <v>6</v>
      </c>
      <c r="E29">
        <v>1</v>
      </c>
      <c r="F29">
        <v>1</v>
      </c>
      <c r="G29" t="str">
        <f>A29 &amp; "-" &amp; C29 &amp; "-" &amp; D29 &amp; "-" &amp; E29 &amp; "-" &amp; F29</f>
        <v>ID_28-G-6-1-1</v>
      </c>
      <c r="H29" s="4">
        <v>0.59722222222222221</v>
      </c>
      <c r="I29" s="4">
        <v>0.60416666666666663</v>
      </c>
      <c r="J29" s="25">
        <f t="shared" si="0"/>
        <v>14.333333333333334</v>
      </c>
      <c r="K29" s="5">
        <v>22.5</v>
      </c>
      <c r="L29" s="5">
        <v>22</v>
      </c>
      <c r="M29" s="5">
        <f t="shared" si="1"/>
        <v>22.25</v>
      </c>
      <c r="N29">
        <v>27</v>
      </c>
      <c r="O29">
        <v>12.9</v>
      </c>
      <c r="P29">
        <v>18.399999999999999</v>
      </c>
      <c r="Q29">
        <f t="shared" si="2"/>
        <v>19.433333333333334</v>
      </c>
      <c r="R29" t="s">
        <v>50</v>
      </c>
      <c r="S29" t="s">
        <v>50</v>
      </c>
      <c r="T29">
        <v>1</v>
      </c>
      <c r="U29" t="s">
        <v>35</v>
      </c>
      <c r="V29" t="s">
        <v>245</v>
      </c>
      <c r="W29">
        <v>3</v>
      </c>
      <c r="X29" t="s">
        <v>245</v>
      </c>
      <c r="Y29" t="s">
        <v>245</v>
      </c>
      <c r="Z29">
        <v>1</v>
      </c>
      <c r="AA29">
        <v>1</v>
      </c>
      <c r="AB29">
        <v>1</v>
      </c>
      <c r="AC29">
        <v>1</v>
      </c>
      <c r="AD29">
        <v>0</v>
      </c>
      <c r="AE29">
        <v>1</v>
      </c>
      <c r="AF29">
        <v>0</v>
      </c>
      <c r="AG29">
        <v>1</v>
      </c>
      <c r="AH29">
        <v>1</v>
      </c>
      <c r="AI29">
        <v>0</v>
      </c>
      <c r="AJ29" t="s">
        <v>147</v>
      </c>
      <c r="AK29">
        <v>2</v>
      </c>
      <c r="AL29">
        <f t="shared" si="3"/>
        <v>9</v>
      </c>
      <c r="AM29">
        <v>0</v>
      </c>
      <c r="AN29">
        <v>0</v>
      </c>
      <c r="AO29">
        <f t="shared" si="4"/>
        <v>0</v>
      </c>
    </row>
    <row r="30" spans="1:41" x14ac:dyDescent="0.3">
      <c r="A30" t="s">
        <v>274</v>
      </c>
      <c r="B30" s="17">
        <v>45968</v>
      </c>
      <c r="C30" s="6" t="s">
        <v>236</v>
      </c>
      <c r="D30" s="6" t="s">
        <v>241</v>
      </c>
      <c r="E30">
        <v>1</v>
      </c>
      <c r="F30">
        <v>1</v>
      </c>
      <c r="G30" t="str">
        <f>A30 &amp; "-" &amp; C30 &amp; "-" &amp; D30 &amp; "-" &amp; E30 &amp; "-" &amp; F30</f>
        <v>ID_29-G-11-1-1</v>
      </c>
      <c r="H30" s="4">
        <v>0.45833333333333331</v>
      </c>
      <c r="I30" s="4">
        <v>0.47152777777777777</v>
      </c>
      <c r="J30" s="25">
        <f t="shared" si="0"/>
        <v>11</v>
      </c>
      <c r="K30" s="5">
        <v>20.9</v>
      </c>
      <c r="L30" s="5">
        <v>21.9</v>
      </c>
      <c r="M30" s="5">
        <f t="shared" si="1"/>
        <v>21.4</v>
      </c>
      <c r="N30">
        <v>12.9</v>
      </c>
      <c r="O30">
        <v>18.399999999999999</v>
      </c>
      <c r="P30">
        <v>23.8</v>
      </c>
      <c r="Q30">
        <f t="shared" si="2"/>
        <v>18.366666666666664</v>
      </c>
      <c r="R30" t="s">
        <v>32</v>
      </c>
      <c r="S30" t="s">
        <v>32</v>
      </c>
      <c r="T30">
        <v>2</v>
      </c>
      <c r="U30" t="s">
        <v>37</v>
      </c>
      <c r="V30" s="2" t="s">
        <v>245</v>
      </c>
      <c r="W30">
        <v>1</v>
      </c>
      <c r="X30" t="s">
        <v>28</v>
      </c>
      <c r="Y30" t="s">
        <v>28</v>
      </c>
      <c r="Z30">
        <v>0</v>
      </c>
      <c r="AA30">
        <v>0</v>
      </c>
      <c r="AB30">
        <v>1</v>
      </c>
      <c r="AC30">
        <v>1</v>
      </c>
      <c r="AD30">
        <v>0</v>
      </c>
      <c r="AE30">
        <v>0</v>
      </c>
      <c r="AF30">
        <v>0</v>
      </c>
      <c r="AG30">
        <v>1</v>
      </c>
      <c r="AH30">
        <v>1</v>
      </c>
      <c r="AI30">
        <v>1</v>
      </c>
      <c r="AJ30" t="s">
        <v>132</v>
      </c>
      <c r="AK30">
        <v>3</v>
      </c>
      <c r="AL30">
        <f t="shared" si="3"/>
        <v>8</v>
      </c>
      <c r="AM30">
        <v>0</v>
      </c>
      <c r="AN30">
        <v>0</v>
      </c>
      <c r="AO30">
        <f t="shared" si="4"/>
        <v>0</v>
      </c>
    </row>
    <row r="31" spans="1:41" x14ac:dyDescent="0.3">
      <c r="A31" t="s">
        <v>275</v>
      </c>
      <c r="B31" s="17">
        <v>45968</v>
      </c>
      <c r="C31" s="6" t="s">
        <v>236</v>
      </c>
      <c r="D31" s="6" t="s">
        <v>241</v>
      </c>
      <c r="E31">
        <v>1</v>
      </c>
      <c r="F31">
        <v>1</v>
      </c>
      <c r="G31" t="str">
        <f>A31 &amp; "-" &amp; C31 &amp; "-" &amp; D31 &amp; "-" &amp; E31 &amp; "-" &amp; F31</f>
        <v>ID_30-G-11-1-1</v>
      </c>
      <c r="H31" s="4">
        <v>0.45833333333333331</v>
      </c>
      <c r="I31" s="4">
        <v>0.47152777777777777</v>
      </c>
      <c r="J31" s="25">
        <f t="shared" si="0"/>
        <v>11</v>
      </c>
      <c r="K31" s="5">
        <v>20.9</v>
      </c>
      <c r="L31" s="5">
        <v>21.9</v>
      </c>
      <c r="M31" s="5">
        <f t="shared" si="1"/>
        <v>21.4</v>
      </c>
      <c r="N31">
        <v>12.9</v>
      </c>
      <c r="O31">
        <v>18.399999999999999</v>
      </c>
      <c r="P31">
        <v>23.8</v>
      </c>
      <c r="Q31">
        <f t="shared" si="2"/>
        <v>18.366666666666664</v>
      </c>
      <c r="R31" t="s">
        <v>32</v>
      </c>
      <c r="S31" t="s">
        <v>32</v>
      </c>
      <c r="T31">
        <v>2</v>
      </c>
      <c r="U31" t="s">
        <v>37</v>
      </c>
      <c r="V31" s="2" t="s">
        <v>245</v>
      </c>
      <c r="W31">
        <v>1</v>
      </c>
      <c r="X31" t="s">
        <v>28</v>
      </c>
      <c r="Y31" t="s">
        <v>28</v>
      </c>
      <c r="Z31">
        <v>0</v>
      </c>
      <c r="AA31">
        <v>0</v>
      </c>
      <c r="AB31">
        <v>1</v>
      </c>
      <c r="AC31">
        <v>1</v>
      </c>
      <c r="AD31">
        <v>0</v>
      </c>
      <c r="AE31">
        <v>0</v>
      </c>
      <c r="AF31">
        <v>0</v>
      </c>
      <c r="AG31">
        <v>1</v>
      </c>
      <c r="AH31">
        <v>1</v>
      </c>
      <c r="AI31">
        <v>1</v>
      </c>
      <c r="AJ31" t="s">
        <v>139</v>
      </c>
      <c r="AK31">
        <v>3</v>
      </c>
      <c r="AL31">
        <f t="shared" si="3"/>
        <v>8</v>
      </c>
      <c r="AM31">
        <v>1</v>
      </c>
      <c r="AN31">
        <v>0</v>
      </c>
      <c r="AO31">
        <f t="shared" si="4"/>
        <v>1</v>
      </c>
    </row>
    <row r="32" spans="1:41" x14ac:dyDescent="0.3">
      <c r="A32" t="s">
        <v>276</v>
      </c>
      <c r="B32" s="17">
        <v>45968</v>
      </c>
      <c r="C32" s="6" t="s">
        <v>236</v>
      </c>
      <c r="D32" s="6">
        <v>2</v>
      </c>
      <c r="E32">
        <v>1</v>
      </c>
      <c r="F32">
        <v>1</v>
      </c>
      <c r="G32" t="str">
        <f>A32 &amp; "-" &amp; C32 &amp; "-" &amp; D32 &amp; "-" &amp; E32 &amp; "-" &amp; F32</f>
        <v>ID_31-G-2-1-1</v>
      </c>
      <c r="H32" s="4">
        <v>0.55902777777777779</v>
      </c>
      <c r="I32" s="4">
        <v>0.56597222222222221</v>
      </c>
      <c r="J32" s="25">
        <f t="shared" si="0"/>
        <v>13.416666666666666</v>
      </c>
      <c r="K32" s="5">
        <v>26.4</v>
      </c>
      <c r="L32" s="5">
        <v>25.1</v>
      </c>
      <c r="M32" s="5">
        <f t="shared" si="1"/>
        <v>25.75</v>
      </c>
      <c r="N32">
        <v>12.9</v>
      </c>
      <c r="O32">
        <v>18.399999999999999</v>
      </c>
      <c r="P32">
        <v>23.8</v>
      </c>
      <c r="Q32">
        <f t="shared" si="2"/>
        <v>18.366666666666664</v>
      </c>
      <c r="R32" t="s">
        <v>27</v>
      </c>
      <c r="S32" t="s">
        <v>27</v>
      </c>
      <c r="T32">
        <v>4</v>
      </c>
      <c r="U32" t="s">
        <v>35</v>
      </c>
      <c r="V32" s="2" t="s">
        <v>245</v>
      </c>
      <c r="W32">
        <v>3</v>
      </c>
      <c r="X32" t="s">
        <v>28</v>
      </c>
      <c r="Y32" t="s">
        <v>28</v>
      </c>
      <c r="Z32">
        <v>0</v>
      </c>
      <c r="AA32">
        <v>0</v>
      </c>
      <c r="AB32">
        <v>1</v>
      </c>
      <c r="AC32">
        <v>0</v>
      </c>
      <c r="AD32">
        <v>0</v>
      </c>
      <c r="AE32">
        <v>0</v>
      </c>
      <c r="AF32">
        <v>0</v>
      </c>
      <c r="AG32">
        <v>1</v>
      </c>
      <c r="AH32">
        <v>0</v>
      </c>
      <c r="AI32">
        <v>0</v>
      </c>
      <c r="AJ32" t="s">
        <v>136</v>
      </c>
      <c r="AK32">
        <v>1</v>
      </c>
      <c r="AL32">
        <f t="shared" si="3"/>
        <v>3</v>
      </c>
      <c r="AM32">
        <v>0</v>
      </c>
      <c r="AN32">
        <v>0</v>
      </c>
      <c r="AO32">
        <f t="shared" si="4"/>
        <v>0</v>
      </c>
    </row>
    <row r="33" spans="1:41" x14ac:dyDescent="0.3">
      <c r="A33" t="s">
        <v>277</v>
      </c>
      <c r="B33" s="17">
        <v>45968</v>
      </c>
      <c r="C33" s="6" t="s">
        <v>236</v>
      </c>
      <c r="D33" s="6">
        <v>2</v>
      </c>
      <c r="E33">
        <v>1</v>
      </c>
      <c r="F33">
        <v>1</v>
      </c>
      <c r="G33" t="str">
        <f>A33 &amp; "-" &amp; C33 &amp; "-" &amp; D33 &amp; "-" &amp; E33 &amp; "-" &amp; F33</f>
        <v>ID_32-G-2-1-1</v>
      </c>
      <c r="H33" s="4">
        <v>0.55972222222222223</v>
      </c>
      <c r="I33" s="4">
        <v>0.56666666666666665</v>
      </c>
      <c r="J33" s="25">
        <f t="shared" si="0"/>
        <v>13.433333333333334</v>
      </c>
      <c r="K33" s="5">
        <v>26.4</v>
      </c>
      <c r="L33" s="5">
        <v>25.1</v>
      </c>
      <c r="M33" s="5">
        <f t="shared" si="1"/>
        <v>25.75</v>
      </c>
      <c r="N33">
        <v>12.9</v>
      </c>
      <c r="O33">
        <v>18.399999999999999</v>
      </c>
      <c r="P33">
        <v>23.8</v>
      </c>
      <c r="Q33">
        <f t="shared" si="2"/>
        <v>18.366666666666664</v>
      </c>
      <c r="R33" t="s">
        <v>25</v>
      </c>
      <c r="S33" t="s">
        <v>25</v>
      </c>
      <c r="T33">
        <v>5</v>
      </c>
      <c r="U33" t="s">
        <v>35</v>
      </c>
      <c r="V33" s="2" t="s">
        <v>245</v>
      </c>
      <c r="W33">
        <v>3</v>
      </c>
      <c r="X33" t="s">
        <v>28</v>
      </c>
      <c r="Y33" t="s">
        <v>28</v>
      </c>
      <c r="Z33">
        <v>1</v>
      </c>
      <c r="AA33">
        <v>0</v>
      </c>
      <c r="AB33">
        <v>1</v>
      </c>
      <c r="AC33">
        <v>1</v>
      </c>
      <c r="AD33">
        <v>0</v>
      </c>
      <c r="AE33">
        <v>1</v>
      </c>
      <c r="AF33">
        <v>0</v>
      </c>
      <c r="AG33">
        <v>1</v>
      </c>
      <c r="AH33">
        <v>1</v>
      </c>
      <c r="AI33">
        <v>0</v>
      </c>
      <c r="AJ33" t="s">
        <v>129</v>
      </c>
      <c r="AK33">
        <v>2</v>
      </c>
      <c r="AL33">
        <f t="shared" si="3"/>
        <v>8</v>
      </c>
      <c r="AM33">
        <v>0</v>
      </c>
      <c r="AN33">
        <v>0</v>
      </c>
      <c r="AO33">
        <f t="shared" si="4"/>
        <v>0</v>
      </c>
    </row>
    <row r="34" spans="1:41" x14ac:dyDescent="0.3">
      <c r="A34" t="s">
        <v>278</v>
      </c>
      <c r="B34" s="17">
        <v>45968</v>
      </c>
      <c r="C34" s="6" t="s">
        <v>236</v>
      </c>
      <c r="D34" s="6">
        <v>2</v>
      </c>
      <c r="E34">
        <v>1</v>
      </c>
      <c r="F34">
        <v>2</v>
      </c>
      <c r="G34" t="str">
        <f>A34 &amp; "-" &amp; C34 &amp; "-" &amp; D34 &amp; "-" &amp; E34 &amp; "-" &amp; F34</f>
        <v>ID_33-G-2-1-2</v>
      </c>
      <c r="H34" s="4">
        <v>0.56736111111111109</v>
      </c>
      <c r="I34" s="4">
        <v>0.57430555555555551</v>
      </c>
      <c r="J34" s="25">
        <f t="shared" si="0"/>
        <v>13.616666666666667</v>
      </c>
      <c r="K34" s="5">
        <v>25.1</v>
      </c>
      <c r="L34" s="5">
        <v>25.4</v>
      </c>
      <c r="M34" s="5">
        <f t="shared" si="1"/>
        <v>25.25</v>
      </c>
      <c r="N34">
        <v>12.9</v>
      </c>
      <c r="O34">
        <v>18.399999999999999</v>
      </c>
      <c r="P34">
        <v>23.8</v>
      </c>
      <c r="Q34">
        <f t="shared" si="2"/>
        <v>18.366666666666664</v>
      </c>
      <c r="R34" t="s">
        <v>27</v>
      </c>
      <c r="S34" t="s">
        <v>27</v>
      </c>
      <c r="T34">
        <v>4</v>
      </c>
      <c r="U34" t="s">
        <v>35</v>
      </c>
      <c r="V34" s="2" t="s">
        <v>245</v>
      </c>
      <c r="W34">
        <v>3</v>
      </c>
      <c r="X34" t="s">
        <v>28</v>
      </c>
      <c r="Y34" t="s">
        <v>28</v>
      </c>
      <c r="Z34">
        <v>1</v>
      </c>
      <c r="AA34">
        <v>1</v>
      </c>
      <c r="AB34">
        <v>1</v>
      </c>
      <c r="AC34">
        <v>1</v>
      </c>
      <c r="AD34">
        <v>0</v>
      </c>
      <c r="AE34">
        <v>0</v>
      </c>
      <c r="AF34">
        <v>0</v>
      </c>
      <c r="AG34">
        <v>0</v>
      </c>
      <c r="AH34">
        <v>0</v>
      </c>
      <c r="AI34">
        <v>0</v>
      </c>
      <c r="AJ34" t="s">
        <v>137</v>
      </c>
      <c r="AK34">
        <v>1</v>
      </c>
      <c r="AL34">
        <f t="shared" si="3"/>
        <v>5</v>
      </c>
      <c r="AM34">
        <v>0</v>
      </c>
      <c r="AN34">
        <v>0</v>
      </c>
      <c r="AO34">
        <f t="shared" si="4"/>
        <v>0</v>
      </c>
    </row>
    <row r="35" spans="1:41" x14ac:dyDescent="0.3">
      <c r="A35" t="s">
        <v>279</v>
      </c>
      <c r="B35" s="17">
        <v>45968</v>
      </c>
      <c r="C35" s="6" t="s">
        <v>236</v>
      </c>
      <c r="D35" s="6">
        <v>2</v>
      </c>
      <c r="E35">
        <v>1</v>
      </c>
      <c r="F35">
        <v>2</v>
      </c>
      <c r="G35" t="str">
        <f>A35 &amp; "-" &amp; C35 &amp; "-" &amp; D35 &amp; "-" &amp; E35 &amp; "-" &amp; F35</f>
        <v>ID_34-G-2-1-2</v>
      </c>
      <c r="H35" s="4">
        <v>0.56736111111111109</v>
      </c>
      <c r="I35" s="4">
        <v>0.57499999999999996</v>
      </c>
      <c r="J35" s="25">
        <f t="shared" si="0"/>
        <v>13.616666666666667</v>
      </c>
      <c r="K35" s="5">
        <v>25.1</v>
      </c>
      <c r="L35" s="5">
        <v>25.4</v>
      </c>
      <c r="M35" s="5">
        <f t="shared" si="1"/>
        <v>25.25</v>
      </c>
      <c r="N35">
        <v>12.9</v>
      </c>
      <c r="O35">
        <v>18.399999999999999</v>
      </c>
      <c r="P35">
        <v>23.8</v>
      </c>
      <c r="Q35">
        <f t="shared" si="2"/>
        <v>18.366666666666664</v>
      </c>
      <c r="R35" t="s">
        <v>25</v>
      </c>
      <c r="S35" t="s">
        <v>25</v>
      </c>
      <c r="T35">
        <v>5</v>
      </c>
      <c r="U35" t="s">
        <v>35</v>
      </c>
      <c r="V35" s="2" t="s">
        <v>245</v>
      </c>
      <c r="W35">
        <v>3</v>
      </c>
      <c r="X35" t="s">
        <v>28</v>
      </c>
      <c r="Y35" t="s">
        <v>28</v>
      </c>
      <c r="Z35">
        <v>1</v>
      </c>
      <c r="AA35">
        <v>0</v>
      </c>
      <c r="AB35">
        <v>1</v>
      </c>
      <c r="AC35">
        <v>1</v>
      </c>
      <c r="AD35">
        <v>0</v>
      </c>
      <c r="AE35">
        <v>0</v>
      </c>
      <c r="AF35">
        <v>0</v>
      </c>
      <c r="AG35">
        <v>1</v>
      </c>
      <c r="AH35">
        <v>1</v>
      </c>
      <c r="AI35">
        <v>0</v>
      </c>
      <c r="AJ35" t="s">
        <v>130</v>
      </c>
      <c r="AK35">
        <v>2</v>
      </c>
      <c r="AL35">
        <f t="shared" si="3"/>
        <v>7</v>
      </c>
      <c r="AM35">
        <v>0</v>
      </c>
      <c r="AN35">
        <v>0</v>
      </c>
      <c r="AO35">
        <f t="shared" si="4"/>
        <v>0</v>
      </c>
    </row>
    <row r="36" spans="1:41" x14ac:dyDescent="0.3">
      <c r="A36" t="s">
        <v>280</v>
      </c>
      <c r="B36" s="17">
        <v>45968</v>
      </c>
      <c r="C36" s="6" t="s">
        <v>236</v>
      </c>
      <c r="D36" s="6">
        <v>4</v>
      </c>
      <c r="E36">
        <v>1</v>
      </c>
      <c r="F36">
        <v>1</v>
      </c>
      <c r="G36" t="str">
        <f>A36 &amp; "-" &amp; C36 &amp; "-" &amp; D36 &amp; "-" &amp; E36 &amp; "-" &amp; F36</f>
        <v>ID_35-G-4-1-1</v>
      </c>
      <c r="H36" s="4">
        <v>0.59444444444444444</v>
      </c>
      <c r="I36" s="4">
        <v>0.60138888888888886</v>
      </c>
      <c r="J36" s="25">
        <f t="shared" si="0"/>
        <v>14.266666666666667</v>
      </c>
      <c r="K36" s="5">
        <v>26</v>
      </c>
      <c r="L36" s="5">
        <v>26.8</v>
      </c>
      <c r="M36" s="5">
        <f t="shared" si="1"/>
        <v>26.4</v>
      </c>
      <c r="N36">
        <v>12.9</v>
      </c>
      <c r="O36">
        <v>18.399999999999999</v>
      </c>
      <c r="P36">
        <v>23.8</v>
      </c>
      <c r="Q36">
        <f t="shared" si="2"/>
        <v>18.366666666666664</v>
      </c>
      <c r="R36" t="s">
        <v>27</v>
      </c>
      <c r="S36" t="s">
        <v>27</v>
      </c>
      <c r="T36">
        <v>4</v>
      </c>
      <c r="U36" t="s">
        <v>35</v>
      </c>
      <c r="V36" s="2" t="s">
        <v>245</v>
      </c>
      <c r="W36">
        <v>3</v>
      </c>
      <c r="X36" t="s">
        <v>28</v>
      </c>
      <c r="Y36" t="s">
        <v>28</v>
      </c>
      <c r="Z36">
        <v>0</v>
      </c>
      <c r="AA36">
        <v>0</v>
      </c>
      <c r="AB36">
        <v>1</v>
      </c>
      <c r="AC36">
        <v>0</v>
      </c>
      <c r="AD36">
        <v>0</v>
      </c>
      <c r="AE36">
        <v>0</v>
      </c>
      <c r="AF36">
        <v>0</v>
      </c>
      <c r="AG36">
        <v>1</v>
      </c>
      <c r="AH36">
        <v>0</v>
      </c>
      <c r="AI36">
        <v>0</v>
      </c>
      <c r="AJ36" t="s">
        <v>199</v>
      </c>
      <c r="AK36">
        <v>3</v>
      </c>
      <c r="AL36">
        <f t="shared" si="3"/>
        <v>5</v>
      </c>
      <c r="AM36">
        <v>0</v>
      </c>
      <c r="AN36">
        <v>0</v>
      </c>
      <c r="AO36">
        <f t="shared" si="4"/>
        <v>0</v>
      </c>
    </row>
    <row r="37" spans="1:41" x14ac:dyDescent="0.3">
      <c r="A37" t="s">
        <v>281</v>
      </c>
      <c r="B37" s="17">
        <v>45968</v>
      </c>
      <c r="C37" s="6" t="s">
        <v>236</v>
      </c>
      <c r="D37" s="6">
        <v>4</v>
      </c>
      <c r="E37">
        <v>1</v>
      </c>
      <c r="F37">
        <v>1</v>
      </c>
      <c r="G37" t="str">
        <f>A37 &amp; "-" &amp; C37 &amp; "-" &amp; D37 &amp; "-" &amp; E37 &amp; "-" &amp; F37</f>
        <v>ID_36-G-4-1-1</v>
      </c>
      <c r="H37" s="4">
        <v>0.59444444444444444</v>
      </c>
      <c r="I37" s="4">
        <v>0.60138888888888886</v>
      </c>
      <c r="J37" s="25">
        <f t="shared" si="0"/>
        <v>14.266666666666667</v>
      </c>
      <c r="K37" s="5">
        <v>26</v>
      </c>
      <c r="L37" s="5">
        <v>26.8</v>
      </c>
      <c r="M37" s="5">
        <f t="shared" si="1"/>
        <v>26.4</v>
      </c>
      <c r="N37">
        <v>12.9</v>
      </c>
      <c r="O37">
        <v>18.399999999999999</v>
      </c>
      <c r="P37">
        <v>23.8</v>
      </c>
      <c r="Q37">
        <f t="shared" si="2"/>
        <v>18.366666666666664</v>
      </c>
      <c r="R37" t="s">
        <v>27</v>
      </c>
      <c r="S37" t="s">
        <v>27</v>
      </c>
      <c r="T37">
        <v>4</v>
      </c>
      <c r="U37" t="s">
        <v>35</v>
      </c>
      <c r="V37" s="2" t="s">
        <v>245</v>
      </c>
      <c r="W37">
        <v>3</v>
      </c>
      <c r="X37" t="s">
        <v>28</v>
      </c>
      <c r="Y37" t="s">
        <v>28</v>
      </c>
      <c r="Z37">
        <v>1</v>
      </c>
      <c r="AA37">
        <v>0</v>
      </c>
      <c r="AB37">
        <v>1</v>
      </c>
      <c r="AC37">
        <v>1</v>
      </c>
      <c r="AD37">
        <v>0</v>
      </c>
      <c r="AE37">
        <v>0</v>
      </c>
      <c r="AF37">
        <v>0</v>
      </c>
      <c r="AG37">
        <v>1</v>
      </c>
      <c r="AH37">
        <v>0</v>
      </c>
      <c r="AI37">
        <v>0</v>
      </c>
      <c r="AJ37" t="s">
        <v>200</v>
      </c>
      <c r="AK37">
        <v>4</v>
      </c>
      <c r="AL37">
        <f t="shared" si="3"/>
        <v>8</v>
      </c>
      <c r="AM37">
        <v>0</v>
      </c>
      <c r="AN37">
        <v>0</v>
      </c>
      <c r="AO37">
        <f t="shared" si="4"/>
        <v>0</v>
      </c>
    </row>
    <row r="38" spans="1:41" x14ac:dyDescent="0.3">
      <c r="A38" t="s">
        <v>282</v>
      </c>
      <c r="B38" s="17">
        <v>45968</v>
      </c>
      <c r="C38" s="6" t="s">
        <v>236</v>
      </c>
      <c r="D38" s="6">
        <v>4</v>
      </c>
      <c r="E38">
        <v>1</v>
      </c>
      <c r="F38">
        <v>2</v>
      </c>
      <c r="G38" t="str">
        <f>A38 &amp; "-" &amp; C38 &amp; "-" &amp; D38 &amp; "-" &amp; E38 &amp; "-" &amp; F38</f>
        <v>ID_37-G-4-1-2</v>
      </c>
      <c r="H38" s="4">
        <v>0.6020833333333333</v>
      </c>
      <c r="I38" s="4">
        <v>0.60902777777777772</v>
      </c>
      <c r="J38" s="25">
        <f t="shared" si="0"/>
        <v>14.45</v>
      </c>
      <c r="K38" s="5">
        <v>26.8</v>
      </c>
      <c r="L38" s="5">
        <v>27</v>
      </c>
      <c r="M38" s="5">
        <f t="shared" si="1"/>
        <v>26.9</v>
      </c>
      <c r="N38">
        <v>12.9</v>
      </c>
      <c r="O38">
        <v>18.399999999999999</v>
      </c>
      <c r="P38">
        <v>23.8</v>
      </c>
      <c r="Q38">
        <f t="shared" si="2"/>
        <v>18.366666666666664</v>
      </c>
      <c r="R38" t="s">
        <v>27</v>
      </c>
      <c r="S38" t="s">
        <v>27</v>
      </c>
      <c r="T38">
        <v>4</v>
      </c>
      <c r="U38" t="s">
        <v>35</v>
      </c>
      <c r="V38" s="2" t="s">
        <v>245</v>
      </c>
      <c r="W38">
        <v>3</v>
      </c>
      <c r="X38" t="s">
        <v>28</v>
      </c>
      <c r="Y38" t="s">
        <v>28</v>
      </c>
      <c r="Z38">
        <v>0</v>
      </c>
      <c r="AA38">
        <v>0</v>
      </c>
      <c r="AB38">
        <v>1</v>
      </c>
      <c r="AC38">
        <v>1</v>
      </c>
      <c r="AD38">
        <v>0</v>
      </c>
      <c r="AE38">
        <v>0</v>
      </c>
      <c r="AF38">
        <v>0</v>
      </c>
      <c r="AG38">
        <v>1</v>
      </c>
      <c r="AH38">
        <v>0</v>
      </c>
      <c r="AI38">
        <v>1</v>
      </c>
      <c r="AJ38" t="s">
        <v>138</v>
      </c>
      <c r="AK38">
        <v>2</v>
      </c>
      <c r="AL38">
        <f t="shared" si="3"/>
        <v>6</v>
      </c>
      <c r="AM38">
        <v>0</v>
      </c>
      <c r="AN38">
        <v>0</v>
      </c>
      <c r="AO38">
        <f t="shared" si="4"/>
        <v>0</v>
      </c>
    </row>
    <row r="39" spans="1:41" x14ac:dyDescent="0.3">
      <c r="A39" t="s">
        <v>283</v>
      </c>
      <c r="B39" s="17">
        <v>45968</v>
      </c>
      <c r="C39" s="6" t="s">
        <v>236</v>
      </c>
      <c r="D39" s="6">
        <v>4</v>
      </c>
      <c r="E39">
        <v>1</v>
      </c>
      <c r="F39">
        <v>2</v>
      </c>
      <c r="G39" t="str">
        <f>A39 &amp; "-" &amp; C39 &amp; "-" &amp; D39 &amp; "-" &amp; E39 &amp; "-" &amp; F39</f>
        <v>ID_38-G-4-1-2</v>
      </c>
      <c r="H39" s="4">
        <v>0.60277777777777775</v>
      </c>
      <c r="I39" s="4">
        <v>0.60972222222222228</v>
      </c>
      <c r="J39" s="25">
        <f t="shared" si="0"/>
        <v>14.466666666666667</v>
      </c>
      <c r="K39" s="5">
        <v>26.8</v>
      </c>
      <c r="L39" s="5">
        <v>27</v>
      </c>
      <c r="M39" s="5">
        <f t="shared" si="1"/>
        <v>26.9</v>
      </c>
      <c r="N39">
        <v>12.9</v>
      </c>
      <c r="O39">
        <v>18.399999999999999</v>
      </c>
      <c r="P39">
        <v>23.8</v>
      </c>
      <c r="Q39">
        <f t="shared" si="2"/>
        <v>18.366666666666664</v>
      </c>
      <c r="R39" t="s">
        <v>27</v>
      </c>
      <c r="S39" t="s">
        <v>27</v>
      </c>
      <c r="T39">
        <v>4</v>
      </c>
      <c r="U39" t="s">
        <v>35</v>
      </c>
      <c r="V39" s="2" t="s">
        <v>245</v>
      </c>
      <c r="W39">
        <v>3</v>
      </c>
      <c r="X39" t="s">
        <v>28</v>
      </c>
      <c r="Y39" t="s">
        <v>28</v>
      </c>
      <c r="Z39">
        <v>0</v>
      </c>
      <c r="AA39">
        <v>0</v>
      </c>
      <c r="AB39">
        <v>1</v>
      </c>
      <c r="AC39">
        <v>1</v>
      </c>
      <c r="AD39">
        <v>0</v>
      </c>
      <c r="AE39">
        <v>0</v>
      </c>
      <c r="AF39">
        <v>0</v>
      </c>
      <c r="AG39">
        <v>1</v>
      </c>
      <c r="AH39">
        <v>1</v>
      </c>
      <c r="AI39">
        <v>0</v>
      </c>
      <c r="AJ39" t="s">
        <v>131</v>
      </c>
      <c r="AK39">
        <v>3</v>
      </c>
      <c r="AL39">
        <f t="shared" si="3"/>
        <v>7</v>
      </c>
      <c r="AM39">
        <v>0</v>
      </c>
      <c r="AN39">
        <v>0</v>
      </c>
      <c r="AO39">
        <f t="shared" si="4"/>
        <v>0</v>
      </c>
    </row>
    <row r="40" spans="1:41" x14ac:dyDescent="0.3">
      <c r="A40" t="s">
        <v>284</v>
      </c>
      <c r="B40" s="17">
        <v>45968</v>
      </c>
      <c r="C40" s="6" t="s">
        <v>236</v>
      </c>
      <c r="D40" s="6">
        <v>5</v>
      </c>
      <c r="E40">
        <v>1</v>
      </c>
      <c r="F40">
        <v>1</v>
      </c>
      <c r="G40" t="str">
        <f>A40 &amp; "-" &amp; C40 &amp; "-" &amp; D40 &amp; "-" &amp; E40 &amp; "-" &amp; F40</f>
        <v>ID_39-G-5-1-1</v>
      </c>
      <c r="H40" s="4">
        <v>0.49791666666666667</v>
      </c>
      <c r="I40" s="4">
        <v>0.50486111111111109</v>
      </c>
      <c r="J40" s="25">
        <f t="shared" si="0"/>
        <v>11.95</v>
      </c>
      <c r="K40" s="5">
        <v>23.9</v>
      </c>
      <c r="L40" s="5">
        <v>24.8</v>
      </c>
      <c r="M40" s="5">
        <f t="shared" si="1"/>
        <v>24.35</v>
      </c>
      <c r="N40">
        <v>12.9</v>
      </c>
      <c r="O40">
        <v>18.399999999999999</v>
      </c>
      <c r="P40">
        <v>23.8</v>
      </c>
      <c r="Q40">
        <f t="shared" si="2"/>
        <v>18.366666666666664</v>
      </c>
      <c r="R40" t="s">
        <v>50</v>
      </c>
      <c r="S40" t="s">
        <v>50</v>
      </c>
      <c r="T40">
        <v>1</v>
      </c>
      <c r="U40" t="s">
        <v>35</v>
      </c>
      <c r="V40" s="2" t="s">
        <v>245</v>
      </c>
      <c r="W40">
        <v>3</v>
      </c>
      <c r="X40" t="s">
        <v>28</v>
      </c>
      <c r="Y40" t="s">
        <v>28</v>
      </c>
      <c r="Z40">
        <v>1</v>
      </c>
      <c r="AA40">
        <v>0</v>
      </c>
      <c r="AB40">
        <v>1</v>
      </c>
      <c r="AC40">
        <v>1</v>
      </c>
      <c r="AD40">
        <v>0</v>
      </c>
      <c r="AE40">
        <v>1</v>
      </c>
      <c r="AF40">
        <v>0</v>
      </c>
      <c r="AG40">
        <v>1</v>
      </c>
      <c r="AH40">
        <v>1</v>
      </c>
      <c r="AI40">
        <v>0</v>
      </c>
      <c r="AJ40" t="s">
        <v>134</v>
      </c>
      <c r="AK40">
        <v>2</v>
      </c>
      <c r="AL40">
        <f t="shared" si="3"/>
        <v>8</v>
      </c>
      <c r="AM40">
        <v>0</v>
      </c>
      <c r="AN40">
        <v>0</v>
      </c>
      <c r="AO40">
        <f t="shared" si="4"/>
        <v>0</v>
      </c>
    </row>
    <row r="41" spans="1:41" x14ac:dyDescent="0.3">
      <c r="A41" t="s">
        <v>285</v>
      </c>
      <c r="B41" s="17">
        <v>45968</v>
      </c>
      <c r="C41" s="6" t="s">
        <v>236</v>
      </c>
      <c r="D41" s="6">
        <v>5</v>
      </c>
      <c r="E41">
        <v>1</v>
      </c>
      <c r="F41">
        <v>1</v>
      </c>
      <c r="G41" t="str">
        <f>A41 &amp; "-" &amp; C41 &amp; "-" &amp; D41 &amp; "-" &amp; E41 &amp; "-" &amp; F41</f>
        <v>ID_40-G-5-1-1</v>
      </c>
      <c r="H41" s="4">
        <v>0.49791666666666667</v>
      </c>
      <c r="I41" s="4">
        <v>0.50486111111111109</v>
      </c>
      <c r="J41" s="25">
        <f t="shared" si="0"/>
        <v>11.95</v>
      </c>
      <c r="K41" s="5">
        <v>23.9</v>
      </c>
      <c r="L41" s="5">
        <v>24.8</v>
      </c>
      <c r="M41" s="5">
        <f t="shared" si="1"/>
        <v>24.35</v>
      </c>
      <c r="N41">
        <v>12.9</v>
      </c>
      <c r="O41">
        <v>18.399999999999999</v>
      </c>
      <c r="P41">
        <v>23.8</v>
      </c>
      <c r="Q41">
        <f t="shared" si="2"/>
        <v>18.366666666666664</v>
      </c>
      <c r="R41" t="s">
        <v>50</v>
      </c>
      <c r="S41" t="s">
        <v>50</v>
      </c>
      <c r="T41">
        <v>1</v>
      </c>
      <c r="U41" t="s">
        <v>35</v>
      </c>
      <c r="V41" s="2" t="s">
        <v>245</v>
      </c>
      <c r="W41">
        <v>3</v>
      </c>
      <c r="X41" t="s">
        <v>28</v>
      </c>
      <c r="Y41" t="s">
        <v>28</v>
      </c>
      <c r="Z41">
        <v>1</v>
      </c>
      <c r="AA41">
        <v>0</v>
      </c>
      <c r="AB41">
        <v>1</v>
      </c>
      <c r="AC41">
        <v>1</v>
      </c>
      <c r="AD41">
        <v>0</v>
      </c>
      <c r="AE41">
        <v>1</v>
      </c>
      <c r="AF41">
        <v>0</v>
      </c>
      <c r="AG41">
        <v>1</v>
      </c>
      <c r="AH41">
        <v>1</v>
      </c>
      <c r="AI41">
        <v>0</v>
      </c>
      <c r="AJ41" t="s">
        <v>140</v>
      </c>
      <c r="AK41">
        <v>1</v>
      </c>
      <c r="AL41">
        <f t="shared" si="3"/>
        <v>7</v>
      </c>
      <c r="AM41">
        <v>0</v>
      </c>
      <c r="AN41">
        <v>0</v>
      </c>
      <c r="AO41">
        <f t="shared" si="4"/>
        <v>0</v>
      </c>
    </row>
    <row r="42" spans="1:41" x14ac:dyDescent="0.3">
      <c r="A42" t="s">
        <v>286</v>
      </c>
      <c r="B42" s="17">
        <v>45968</v>
      </c>
      <c r="C42" s="6" t="s">
        <v>236</v>
      </c>
      <c r="D42" s="6">
        <v>5</v>
      </c>
      <c r="E42">
        <v>2</v>
      </c>
      <c r="F42">
        <v>1</v>
      </c>
      <c r="G42" t="str">
        <f>A42 &amp; "-" &amp; C42 &amp; "-" &amp; D42 &amp; "-" &amp; E42 &amp; "-" &amp; F42</f>
        <v>ID_41-G-5-2-1</v>
      </c>
      <c r="H42" s="4">
        <v>0.48680555555555555</v>
      </c>
      <c r="I42" s="4">
        <v>0.49583333333333335</v>
      </c>
      <c r="J42" s="25">
        <f t="shared" si="0"/>
        <v>11.683333333333334</v>
      </c>
      <c r="K42" s="5">
        <v>22.8</v>
      </c>
      <c r="L42" s="5">
        <v>23.9</v>
      </c>
      <c r="M42" s="5">
        <f t="shared" si="1"/>
        <v>23.35</v>
      </c>
      <c r="N42">
        <v>12.9</v>
      </c>
      <c r="O42">
        <v>18.399999999999999</v>
      </c>
      <c r="P42">
        <v>23.8</v>
      </c>
      <c r="Q42">
        <f t="shared" si="2"/>
        <v>18.366666666666664</v>
      </c>
      <c r="R42" t="s">
        <v>50</v>
      </c>
      <c r="S42" t="s">
        <v>50</v>
      </c>
      <c r="T42">
        <v>1</v>
      </c>
      <c r="U42" t="s">
        <v>37</v>
      </c>
      <c r="V42" s="2" t="s">
        <v>245</v>
      </c>
      <c r="W42">
        <v>1</v>
      </c>
      <c r="X42" t="s">
        <v>28</v>
      </c>
      <c r="Y42" t="s">
        <v>28</v>
      </c>
      <c r="Z42">
        <v>0</v>
      </c>
      <c r="AA42">
        <v>0</v>
      </c>
      <c r="AB42">
        <v>1</v>
      </c>
      <c r="AC42">
        <v>0</v>
      </c>
      <c r="AD42">
        <v>0</v>
      </c>
      <c r="AE42">
        <v>0</v>
      </c>
      <c r="AF42">
        <v>0</v>
      </c>
      <c r="AG42">
        <v>0</v>
      </c>
      <c r="AH42">
        <v>0</v>
      </c>
      <c r="AI42">
        <v>0</v>
      </c>
      <c r="AJ42" t="s">
        <v>202</v>
      </c>
      <c r="AK42">
        <v>3</v>
      </c>
      <c r="AL42">
        <f t="shared" si="3"/>
        <v>4</v>
      </c>
      <c r="AM42">
        <v>0</v>
      </c>
      <c r="AN42">
        <v>0</v>
      </c>
      <c r="AO42">
        <f t="shared" si="4"/>
        <v>0</v>
      </c>
    </row>
    <row r="43" spans="1:41" x14ac:dyDescent="0.3">
      <c r="A43" t="s">
        <v>287</v>
      </c>
      <c r="B43" s="17">
        <v>45968</v>
      </c>
      <c r="C43" s="6" t="s">
        <v>236</v>
      </c>
      <c r="D43" s="6">
        <v>5</v>
      </c>
      <c r="E43">
        <v>2</v>
      </c>
      <c r="F43">
        <v>1</v>
      </c>
      <c r="G43" t="str">
        <f>A43 &amp; "-" &amp; C43 &amp; "-" &amp; D43 &amp; "-" &amp; E43 &amp; "-" &amp; F43</f>
        <v>ID_42-G-5-2-1</v>
      </c>
      <c r="H43" s="4">
        <v>0.48749999999999999</v>
      </c>
      <c r="I43" s="4">
        <v>0.49583333333333335</v>
      </c>
      <c r="J43" s="25">
        <f t="shared" si="0"/>
        <v>11.7</v>
      </c>
      <c r="K43" s="5">
        <v>22.8</v>
      </c>
      <c r="L43" s="5">
        <v>23.9</v>
      </c>
      <c r="M43" s="5">
        <f t="shared" si="1"/>
        <v>23.35</v>
      </c>
      <c r="N43">
        <v>12.9</v>
      </c>
      <c r="O43">
        <v>18.399999999999999</v>
      </c>
      <c r="P43">
        <v>23.8</v>
      </c>
      <c r="Q43">
        <f t="shared" si="2"/>
        <v>18.366666666666664</v>
      </c>
      <c r="R43" t="s">
        <v>50</v>
      </c>
      <c r="S43" t="s">
        <v>50</v>
      </c>
      <c r="T43">
        <v>1</v>
      </c>
      <c r="U43" t="s">
        <v>37</v>
      </c>
      <c r="V43" s="2" t="s">
        <v>245</v>
      </c>
      <c r="W43">
        <v>1</v>
      </c>
      <c r="X43" t="s">
        <v>28</v>
      </c>
      <c r="Y43" t="s">
        <v>28</v>
      </c>
      <c r="Z43">
        <v>1</v>
      </c>
      <c r="AA43">
        <v>0</v>
      </c>
      <c r="AB43">
        <v>1</v>
      </c>
      <c r="AC43">
        <v>1</v>
      </c>
      <c r="AD43">
        <v>0</v>
      </c>
      <c r="AE43">
        <v>0</v>
      </c>
      <c r="AF43">
        <v>1</v>
      </c>
      <c r="AG43">
        <v>1</v>
      </c>
      <c r="AH43">
        <v>1</v>
      </c>
      <c r="AI43">
        <v>0</v>
      </c>
      <c r="AJ43" t="s">
        <v>133</v>
      </c>
      <c r="AK43">
        <v>2</v>
      </c>
      <c r="AL43">
        <f t="shared" si="3"/>
        <v>8</v>
      </c>
      <c r="AM43">
        <v>0</v>
      </c>
      <c r="AN43">
        <v>0</v>
      </c>
      <c r="AO43">
        <f t="shared" si="4"/>
        <v>0</v>
      </c>
    </row>
    <row r="44" spans="1:41" x14ac:dyDescent="0.3">
      <c r="A44" t="s">
        <v>288</v>
      </c>
      <c r="B44" s="17">
        <v>45968</v>
      </c>
      <c r="C44" s="6" t="s">
        <v>236</v>
      </c>
      <c r="D44" s="6">
        <v>8</v>
      </c>
      <c r="E44">
        <v>1</v>
      </c>
      <c r="F44">
        <v>1</v>
      </c>
      <c r="G44" t="str">
        <f>A44 &amp; "-" &amp; C44 &amp; "-" &amp; D44 &amp; "-" &amp; E44 &amp; "-" &amp; F44</f>
        <v>ID_43-G-8-1-1</v>
      </c>
      <c r="H44" s="4">
        <v>0.52916666666666667</v>
      </c>
      <c r="I44" s="4">
        <v>0.53819444444444442</v>
      </c>
      <c r="J44" s="25">
        <f t="shared" si="0"/>
        <v>12.7</v>
      </c>
      <c r="K44" s="5">
        <v>26.1</v>
      </c>
      <c r="L44" s="5">
        <v>25.6</v>
      </c>
      <c r="M44" s="5">
        <f t="shared" si="1"/>
        <v>25.85</v>
      </c>
      <c r="N44">
        <v>12.9</v>
      </c>
      <c r="O44">
        <v>18.399999999999999</v>
      </c>
      <c r="P44">
        <v>23.8</v>
      </c>
      <c r="Q44">
        <f t="shared" si="2"/>
        <v>18.366666666666664</v>
      </c>
      <c r="R44" t="s">
        <v>30</v>
      </c>
      <c r="S44" t="s">
        <v>30</v>
      </c>
      <c r="T44">
        <v>3</v>
      </c>
      <c r="U44" t="s">
        <v>35</v>
      </c>
      <c r="V44" s="2" t="s">
        <v>245</v>
      </c>
      <c r="W44">
        <v>3</v>
      </c>
      <c r="X44" t="s">
        <v>28</v>
      </c>
      <c r="Y44" t="s">
        <v>28</v>
      </c>
      <c r="Z44">
        <v>1</v>
      </c>
      <c r="AA44">
        <v>0</v>
      </c>
      <c r="AB44">
        <v>1</v>
      </c>
      <c r="AC44">
        <v>1</v>
      </c>
      <c r="AD44">
        <v>0</v>
      </c>
      <c r="AE44">
        <v>0</v>
      </c>
      <c r="AF44">
        <v>0</v>
      </c>
      <c r="AG44">
        <v>1</v>
      </c>
      <c r="AH44">
        <v>0</v>
      </c>
      <c r="AI44">
        <v>0</v>
      </c>
      <c r="AJ44" t="s">
        <v>135</v>
      </c>
      <c r="AK44">
        <v>4</v>
      </c>
      <c r="AL44">
        <f t="shared" si="3"/>
        <v>8</v>
      </c>
      <c r="AM44">
        <v>0</v>
      </c>
      <c r="AN44">
        <v>0</v>
      </c>
      <c r="AO44">
        <f t="shared" si="4"/>
        <v>0</v>
      </c>
    </row>
    <row r="45" spans="1:41" x14ac:dyDescent="0.3">
      <c r="A45" t="s">
        <v>289</v>
      </c>
      <c r="B45" s="17">
        <v>45968</v>
      </c>
      <c r="C45" s="6" t="s">
        <v>236</v>
      </c>
      <c r="D45" s="6">
        <v>8</v>
      </c>
      <c r="E45">
        <v>1</v>
      </c>
      <c r="F45">
        <v>1</v>
      </c>
      <c r="G45" t="str">
        <f>A45 &amp; "-" &amp; C45 &amp; "-" &amp; D45 &amp; "-" &amp; E45 &amp; "-" &amp; F45</f>
        <v>ID_44-G-8-1-1</v>
      </c>
      <c r="H45" s="4">
        <v>0.52916666666666667</v>
      </c>
      <c r="I45" s="4">
        <v>0.53819444444444442</v>
      </c>
      <c r="J45" s="25">
        <f t="shared" si="0"/>
        <v>12.7</v>
      </c>
      <c r="K45" s="5">
        <v>26.1</v>
      </c>
      <c r="L45" s="5">
        <v>25.6</v>
      </c>
      <c r="M45" s="5">
        <f t="shared" si="1"/>
        <v>25.85</v>
      </c>
      <c r="N45">
        <v>12.9</v>
      </c>
      <c r="O45">
        <v>18.399999999999999</v>
      </c>
      <c r="P45">
        <v>23.8</v>
      </c>
      <c r="Q45">
        <f t="shared" si="2"/>
        <v>18.366666666666664</v>
      </c>
      <c r="R45" t="s">
        <v>30</v>
      </c>
      <c r="S45" t="s">
        <v>30</v>
      </c>
      <c r="T45">
        <v>3</v>
      </c>
      <c r="U45" t="s">
        <v>35</v>
      </c>
      <c r="V45" s="2" t="s">
        <v>245</v>
      </c>
      <c r="W45">
        <v>3</v>
      </c>
      <c r="X45" t="s">
        <v>28</v>
      </c>
      <c r="Y45" t="s">
        <v>28</v>
      </c>
      <c r="Z45">
        <v>1</v>
      </c>
      <c r="AA45">
        <v>1</v>
      </c>
      <c r="AB45">
        <v>1</v>
      </c>
      <c r="AC45">
        <v>1</v>
      </c>
      <c r="AD45">
        <v>0</v>
      </c>
      <c r="AE45">
        <v>1</v>
      </c>
      <c r="AF45">
        <v>0</v>
      </c>
      <c r="AG45">
        <v>1</v>
      </c>
      <c r="AH45">
        <v>0</v>
      </c>
      <c r="AI45">
        <v>0</v>
      </c>
      <c r="AJ45" t="s">
        <v>190</v>
      </c>
      <c r="AK45">
        <v>2</v>
      </c>
      <c r="AL45">
        <f t="shared" si="3"/>
        <v>8</v>
      </c>
      <c r="AM45">
        <v>0</v>
      </c>
      <c r="AN45">
        <v>0</v>
      </c>
      <c r="AO45">
        <f t="shared" si="4"/>
        <v>0</v>
      </c>
    </row>
    <row r="46" spans="1:41" x14ac:dyDescent="0.3">
      <c r="A46" t="s">
        <v>290</v>
      </c>
      <c r="B46" s="17">
        <v>45968</v>
      </c>
      <c r="C46" s="6" t="s">
        <v>236</v>
      </c>
      <c r="D46" s="6">
        <v>8</v>
      </c>
      <c r="E46">
        <v>1</v>
      </c>
      <c r="F46">
        <v>2</v>
      </c>
      <c r="G46" t="str">
        <f>A46 &amp; "-" &amp; C46 &amp; "-" &amp; D46 &amp; "-" &amp; E46 &amp; "-" &amp; F46</f>
        <v>ID_45-G-8-1-2</v>
      </c>
      <c r="H46" s="4">
        <v>0.5395833333333333</v>
      </c>
      <c r="I46" s="4">
        <v>0.54652777777777772</v>
      </c>
      <c r="J46" s="25">
        <f t="shared" si="0"/>
        <v>12.95</v>
      </c>
      <c r="K46" s="5">
        <v>25.6</v>
      </c>
      <c r="L46" s="5">
        <v>25.7</v>
      </c>
      <c r="M46" s="5">
        <f t="shared" si="1"/>
        <v>25.65</v>
      </c>
      <c r="N46">
        <v>12.9</v>
      </c>
      <c r="O46">
        <v>18.399999999999999</v>
      </c>
      <c r="P46">
        <v>23.8</v>
      </c>
      <c r="Q46">
        <f t="shared" si="2"/>
        <v>18.366666666666664</v>
      </c>
      <c r="R46" t="s">
        <v>27</v>
      </c>
      <c r="S46" t="s">
        <v>27</v>
      </c>
      <c r="T46">
        <v>4</v>
      </c>
      <c r="U46" t="s">
        <v>35</v>
      </c>
      <c r="V46" s="2" t="s">
        <v>245</v>
      </c>
      <c r="W46">
        <v>3</v>
      </c>
      <c r="X46" t="s">
        <v>28</v>
      </c>
      <c r="Y46" t="s">
        <v>28</v>
      </c>
      <c r="Z46">
        <v>1</v>
      </c>
      <c r="AA46">
        <v>0</v>
      </c>
      <c r="AB46">
        <v>1</v>
      </c>
      <c r="AC46">
        <v>1</v>
      </c>
      <c r="AD46">
        <v>0</v>
      </c>
      <c r="AE46">
        <v>0</v>
      </c>
      <c r="AF46">
        <v>0</v>
      </c>
      <c r="AG46">
        <v>1</v>
      </c>
      <c r="AH46">
        <v>1</v>
      </c>
      <c r="AI46">
        <v>0</v>
      </c>
      <c r="AJ46" t="s">
        <v>194</v>
      </c>
      <c r="AK46">
        <v>1</v>
      </c>
      <c r="AL46">
        <f t="shared" si="3"/>
        <v>6</v>
      </c>
      <c r="AM46">
        <v>0</v>
      </c>
      <c r="AN46">
        <v>0</v>
      </c>
      <c r="AO46">
        <f t="shared" si="4"/>
        <v>0</v>
      </c>
    </row>
    <row r="47" spans="1:41" x14ac:dyDescent="0.3">
      <c r="A47" t="s">
        <v>291</v>
      </c>
      <c r="B47" s="17">
        <v>45968</v>
      </c>
      <c r="C47" s="6" t="s">
        <v>236</v>
      </c>
      <c r="D47" s="6">
        <v>8</v>
      </c>
      <c r="E47">
        <v>1</v>
      </c>
      <c r="F47">
        <v>2</v>
      </c>
      <c r="G47" t="str">
        <f>A47 &amp; "-" &amp; C47 &amp; "-" &amp; D47 &amp; "-" &amp; E47 &amp; "-" &amp; F47</f>
        <v>ID_46-G-8-1-2</v>
      </c>
      <c r="H47" s="4">
        <v>0.5395833333333333</v>
      </c>
      <c r="I47" s="4">
        <v>0.54722222222222228</v>
      </c>
      <c r="J47" s="25">
        <f t="shared" si="0"/>
        <v>12.95</v>
      </c>
      <c r="K47" s="5">
        <v>25.6</v>
      </c>
      <c r="L47" s="5">
        <v>25.7</v>
      </c>
      <c r="M47" s="5">
        <f t="shared" si="1"/>
        <v>25.65</v>
      </c>
      <c r="N47">
        <v>12.9</v>
      </c>
      <c r="O47">
        <v>18.399999999999999</v>
      </c>
      <c r="P47">
        <v>23.8</v>
      </c>
      <c r="Q47">
        <f t="shared" si="2"/>
        <v>18.366666666666664</v>
      </c>
      <c r="R47" t="s">
        <v>30</v>
      </c>
      <c r="S47" t="s">
        <v>27</v>
      </c>
      <c r="T47">
        <v>3</v>
      </c>
      <c r="U47" t="s">
        <v>35</v>
      </c>
      <c r="V47" s="2" t="s">
        <v>245</v>
      </c>
      <c r="W47">
        <v>3</v>
      </c>
      <c r="X47" t="s">
        <v>28</v>
      </c>
      <c r="Y47" t="s">
        <v>28</v>
      </c>
      <c r="Z47">
        <v>0</v>
      </c>
      <c r="AA47">
        <v>0</v>
      </c>
      <c r="AB47">
        <v>1</v>
      </c>
      <c r="AC47">
        <v>1</v>
      </c>
      <c r="AD47">
        <v>0</v>
      </c>
      <c r="AE47">
        <v>0</v>
      </c>
      <c r="AF47">
        <v>0</v>
      </c>
      <c r="AG47">
        <v>1</v>
      </c>
      <c r="AH47">
        <v>1</v>
      </c>
      <c r="AI47">
        <v>0</v>
      </c>
      <c r="AJ47" t="s">
        <v>128</v>
      </c>
      <c r="AK47">
        <v>1</v>
      </c>
      <c r="AL47">
        <f t="shared" si="3"/>
        <v>5</v>
      </c>
      <c r="AM47">
        <v>0</v>
      </c>
      <c r="AN47">
        <v>0</v>
      </c>
      <c r="AO47">
        <f t="shared" si="4"/>
        <v>0</v>
      </c>
    </row>
    <row r="48" spans="1:41" x14ac:dyDescent="0.3">
      <c r="A48" t="s">
        <v>292</v>
      </c>
      <c r="B48" s="17">
        <v>45973</v>
      </c>
      <c r="C48" s="6" t="s">
        <v>236</v>
      </c>
      <c r="D48" s="6">
        <v>1</v>
      </c>
      <c r="E48">
        <v>1</v>
      </c>
      <c r="F48">
        <v>1</v>
      </c>
      <c r="G48" t="str">
        <f>A48 &amp; "-" &amp; C48 &amp; "-" &amp; D48 &amp; "-" &amp; E48 &amp; "-" &amp; F48</f>
        <v>ID_47-G-1-1-1</v>
      </c>
      <c r="H48" s="4">
        <v>0.49791666666666667</v>
      </c>
      <c r="I48" s="4">
        <v>0.50486111111111109</v>
      </c>
      <c r="J48" s="25">
        <f t="shared" si="0"/>
        <v>11.95</v>
      </c>
      <c r="K48" s="5">
        <v>14.7</v>
      </c>
      <c r="L48" s="5">
        <v>15.5</v>
      </c>
      <c r="M48" s="5">
        <f t="shared" si="1"/>
        <v>15.1</v>
      </c>
      <c r="N48">
        <v>19.2</v>
      </c>
      <c r="O48">
        <v>23.5</v>
      </c>
      <c r="P48">
        <v>20</v>
      </c>
      <c r="Q48">
        <f t="shared" si="2"/>
        <v>20.900000000000002</v>
      </c>
      <c r="R48" t="s">
        <v>56</v>
      </c>
      <c r="S48" t="s">
        <v>56</v>
      </c>
      <c r="T48">
        <v>0</v>
      </c>
      <c r="U48" t="s">
        <v>26</v>
      </c>
      <c r="V48" s="2" t="s">
        <v>245</v>
      </c>
      <c r="W48">
        <v>2</v>
      </c>
      <c r="X48" t="s">
        <v>28</v>
      </c>
      <c r="Y48" t="s">
        <v>28</v>
      </c>
      <c r="Z48">
        <v>1</v>
      </c>
      <c r="AA48">
        <v>0</v>
      </c>
      <c r="AB48">
        <v>1</v>
      </c>
      <c r="AC48">
        <v>1</v>
      </c>
      <c r="AD48">
        <v>0</v>
      </c>
      <c r="AE48">
        <v>0</v>
      </c>
      <c r="AF48">
        <v>0</v>
      </c>
      <c r="AG48">
        <v>1</v>
      </c>
      <c r="AH48">
        <v>1</v>
      </c>
      <c r="AI48">
        <v>1</v>
      </c>
      <c r="AJ48" t="s">
        <v>126</v>
      </c>
      <c r="AK48">
        <v>2</v>
      </c>
      <c r="AL48">
        <f t="shared" si="3"/>
        <v>8</v>
      </c>
      <c r="AM48">
        <v>0</v>
      </c>
      <c r="AN48">
        <v>0</v>
      </c>
      <c r="AO48">
        <f t="shared" si="4"/>
        <v>0</v>
      </c>
    </row>
    <row r="49" spans="1:42" x14ac:dyDescent="0.3">
      <c r="A49" t="s">
        <v>293</v>
      </c>
      <c r="B49" s="17">
        <v>45973</v>
      </c>
      <c r="C49" s="6" t="s">
        <v>236</v>
      </c>
      <c r="D49" s="6">
        <v>1</v>
      </c>
      <c r="E49">
        <v>1</v>
      </c>
      <c r="F49">
        <v>1</v>
      </c>
      <c r="G49" t="str">
        <f>A49 &amp; "-" &amp; C49 &amp; "-" &amp; D49 &amp; "-" &amp; E49 &amp; "-" &amp; F49</f>
        <v>ID_48-G-1-1-1</v>
      </c>
      <c r="H49" s="4">
        <v>0.49791666666666667</v>
      </c>
      <c r="I49" s="4">
        <v>0.50486111111111109</v>
      </c>
      <c r="J49" s="25">
        <f t="shared" si="0"/>
        <v>11.95</v>
      </c>
      <c r="K49" s="5">
        <v>14.7</v>
      </c>
      <c r="L49" s="5">
        <v>15.5</v>
      </c>
      <c r="M49" s="5">
        <f t="shared" si="1"/>
        <v>15.1</v>
      </c>
      <c r="N49">
        <v>19.2</v>
      </c>
      <c r="O49">
        <v>23.5</v>
      </c>
      <c r="P49">
        <v>20</v>
      </c>
      <c r="Q49">
        <f t="shared" si="2"/>
        <v>20.900000000000002</v>
      </c>
      <c r="R49" t="s">
        <v>56</v>
      </c>
      <c r="S49" t="s">
        <v>56</v>
      </c>
      <c r="T49">
        <v>0</v>
      </c>
      <c r="U49" t="s">
        <v>26</v>
      </c>
      <c r="V49" s="2" t="s">
        <v>245</v>
      </c>
      <c r="W49">
        <v>2</v>
      </c>
      <c r="X49" t="s">
        <v>28</v>
      </c>
      <c r="Y49" t="s">
        <v>28</v>
      </c>
      <c r="Z49">
        <v>1</v>
      </c>
      <c r="AA49">
        <v>1</v>
      </c>
      <c r="AB49">
        <v>1</v>
      </c>
      <c r="AC49">
        <v>1</v>
      </c>
      <c r="AD49">
        <v>0</v>
      </c>
      <c r="AE49">
        <v>0</v>
      </c>
      <c r="AF49">
        <v>0</v>
      </c>
      <c r="AG49">
        <v>1</v>
      </c>
      <c r="AH49">
        <v>1</v>
      </c>
      <c r="AI49">
        <v>1</v>
      </c>
      <c r="AJ49" t="s">
        <v>29</v>
      </c>
      <c r="AK49">
        <v>1</v>
      </c>
      <c r="AL49">
        <f t="shared" si="3"/>
        <v>8</v>
      </c>
      <c r="AM49">
        <v>0</v>
      </c>
      <c r="AN49">
        <v>0</v>
      </c>
      <c r="AO49">
        <f t="shared" si="4"/>
        <v>0</v>
      </c>
    </row>
    <row r="50" spans="1:42" x14ac:dyDescent="0.3">
      <c r="A50" t="s">
        <v>294</v>
      </c>
      <c r="B50" s="17">
        <v>45973</v>
      </c>
      <c r="C50" s="6" t="s">
        <v>236</v>
      </c>
      <c r="D50" s="6" t="s">
        <v>241</v>
      </c>
      <c r="E50">
        <v>1</v>
      </c>
      <c r="F50">
        <v>1</v>
      </c>
      <c r="G50" t="str">
        <f>A50 &amp; "-" &amp; C50 &amp; "-" &amp; D50 &amp; "-" &amp; E50 &amp; "-" &amp; F50</f>
        <v>ID_49-G-11-1-1</v>
      </c>
      <c r="H50" s="4">
        <v>0.52777777777777779</v>
      </c>
      <c r="I50" s="4">
        <v>0.53472222222222221</v>
      </c>
      <c r="J50" s="25">
        <f t="shared" si="0"/>
        <v>12.666666666666666</v>
      </c>
      <c r="K50" s="5">
        <v>17.600000000000001</v>
      </c>
      <c r="L50" s="5">
        <v>17.2</v>
      </c>
      <c r="M50" s="5">
        <f t="shared" si="1"/>
        <v>17.399999999999999</v>
      </c>
      <c r="N50">
        <v>19.2</v>
      </c>
      <c r="O50">
        <v>23.5</v>
      </c>
      <c r="P50">
        <v>20</v>
      </c>
      <c r="Q50">
        <f t="shared" si="2"/>
        <v>20.900000000000002</v>
      </c>
      <c r="R50" t="s">
        <v>56</v>
      </c>
      <c r="S50" t="s">
        <v>56</v>
      </c>
      <c r="T50">
        <v>0</v>
      </c>
      <c r="U50" t="s">
        <v>26</v>
      </c>
      <c r="V50" s="2" t="s">
        <v>245</v>
      </c>
      <c r="W50">
        <v>2</v>
      </c>
      <c r="X50" t="s">
        <v>28</v>
      </c>
      <c r="Y50" t="s">
        <v>28</v>
      </c>
      <c r="Z50">
        <v>0</v>
      </c>
      <c r="AA50">
        <v>0</v>
      </c>
      <c r="AB50">
        <v>1</v>
      </c>
      <c r="AC50">
        <v>1</v>
      </c>
      <c r="AD50">
        <v>0</v>
      </c>
      <c r="AE50">
        <v>0</v>
      </c>
      <c r="AF50">
        <v>0</v>
      </c>
      <c r="AG50">
        <v>0</v>
      </c>
      <c r="AH50">
        <v>0</v>
      </c>
      <c r="AI50">
        <v>0</v>
      </c>
      <c r="AJ50" t="s">
        <v>127</v>
      </c>
      <c r="AK50">
        <v>1</v>
      </c>
      <c r="AL50">
        <f t="shared" si="3"/>
        <v>3</v>
      </c>
      <c r="AM50">
        <v>0</v>
      </c>
      <c r="AN50">
        <v>0</v>
      </c>
      <c r="AO50">
        <f t="shared" si="4"/>
        <v>0</v>
      </c>
    </row>
    <row r="51" spans="1:42" x14ac:dyDescent="0.3">
      <c r="A51" t="s">
        <v>295</v>
      </c>
      <c r="B51" s="17">
        <v>45973</v>
      </c>
      <c r="C51" s="6" t="s">
        <v>236</v>
      </c>
      <c r="D51" s="6" t="s">
        <v>241</v>
      </c>
      <c r="E51">
        <v>1</v>
      </c>
      <c r="F51">
        <v>1</v>
      </c>
      <c r="G51" t="str">
        <f>A51 &amp; "-" &amp; C51 &amp; "-" &amp; D51 &amp; "-" &amp; E51 &amp; "-" &amp; F51</f>
        <v>ID_50-G-11-1-1</v>
      </c>
      <c r="H51" s="4">
        <v>0.52847222222222223</v>
      </c>
      <c r="I51" s="4">
        <v>0.53611111111111109</v>
      </c>
      <c r="J51" s="25">
        <f t="shared" si="0"/>
        <v>12.683333333333334</v>
      </c>
      <c r="K51" s="5">
        <v>17.600000000000001</v>
      </c>
      <c r="L51" s="5">
        <v>17.2</v>
      </c>
      <c r="M51" s="5">
        <f t="shared" si="1"/>
        <v>17.399999999999999</v>
      </c>
      <c r="N51">
        <v>19.2</v>
      </c>
      <c r="O51">
        <v>23.5</v>
      </c>
      <c r="P51">
        <v>20</v>
      </c>
      <c r="Q51">
        <f t="shared" si="2"/>
        <v>20.900000000000002</v>
      </c>
      <c r="R51" t="s">
        <v>56</v>
      </c>
      <c r="S51" t="s">
        <v>56</v>
      </c>
      <c r="T51">
        <v>0</v>
      </c>
      <c r="U51" t="s">
        <v>26</v>
      </c>
      <c r="V51" s="2" t="s">
        <v>245</v>
      </c>
      <c r="W51">
        <v>2</v>
      </c>
      <c r="X51" t="s">
        <v>28</v>
      </c>
      <c r="Y51" t="s">
        <v>28</v>
      </c>
      <c r="Z51">
        <v>0</v>
      </c>
      <c r="AA51">
        <v>0</v>
      </c>
      <c r="AB51">
        <v>1</v>
      </c>
      <c r="AC51">
        <v>1</v>
      </c>
      <c r="AD51">
        <v>0</v>
      </c>
      <c r="AE51">
        <v>0</v>
      </c>
      <c r="AF51">
        <v>0</v>
      </c>
      <c r="AG51">
        <v>1</v>
      </c>
      <c r="AH51">
        <v>0</v>
      </c>
      <c r="AI51">
        <v>1</v>
      </c>
      <c r="AJ51" t="s">
        <v>36</v>
      </c>
      <c r="AK51">
        <v>0</v>
      </c>
      <c r="AL51">
        <f t="shared" si="3"/>
        <v>4</v>
      </c>
      <c r="AM51">
        <v>0</v>
      </c>
      <c r="AN51">
        <v>0</v>
      </c>
      <c r="AO51">
        <f t="shared" si="4"/>
        <v>0</v>
      </c>
    </row>
    <row r="52" spans="1:42" x14ac:dyDescent="0.3">
      <c r="A52" t="s">
        <v>296</v>
      </c>
      <c r="B52" s="17">
        <v>45973</v>
      </c>
      <c r="C52" s="6" t="s">
        <v>236</v>
      </c>
      <c r="D52" s="6" t="s">
        <v>241</v>
      </c>
      <c r="E52">
        <v>1</v>
      </c>
      <c r="F52">
        <v>2</v>
      </c>
      <c r="G52" t="str">
        <f>A52 &amp; "-" &amp; C52 &amp; "-" &amp; D52 &amp; "-" &amp; E52 &amp; "-" &amp; F52</f>
        <v>ID_51-G-11-1-2</v>
      </c>
      <c r="H52" s="4">
        <v>0.53819444444444442</v>
      </c>
      <c r="I52" s="4">
        <v>0.54513888888888884</v>
      </c>
      <c r="J52" s="25">
        <f t="shared" si="0"/>
        <v>12.916666666666666</v>
      </c>
      <c r="K52" s="5">
        <v>17.2</v>
      </c>
      <c r="L52" s="5">
        <v>18.100000000000001</v>
      </c>
      <c r="M52" s="5">
        <f t="shared" si="1"/>
        <v>17.649999999999999</v>
      </c>
      <c r="N52">
        <v>19.2</v>
      </c>
      <c r="O52">
        <v>23.5</v>
      </c>
      <c r="P52">
        <v>20</v>
      </c>
      <c r="Q52">
        <f t="shared" si="2"/>
        <v>20.900000000000002</v>
      </c>
      <c r="R52" t="s">
        <v>56</v>
      </c>
      <c r="S52" t="s">
        <v>56</v>
      </c>
      <c r="T52">
        <v>0</v>
      </c>
      <c r="U52" t="s">
        <v>35</v>
      </c>
      <c r="V52" s="2" t="s">
        <v>245</v>
      </c>
      <c r="W52">
        <v>3</v>
      </c>
      <c r="X52" t="s">
        <v>28</v>
      </c>
      <c r="Y52" t="s">
        <v>28</v>
      </c>
      <c r="Z52">
        <v>0</v>
      </c>
      <c r="AA52">
        <v>0</v>
      </c>
      <c r="AB52">
        <v>1</v>
      </c>
      <c r="AC52">
        <v>1</v>
      </c>
      <c r="AD52">
        <v>0</v>
      </c>
      <c r="AE52">
        <v>0</v>
      </c>
      <c r="AF52">
        <v>0</v>
      </c>
      <c r="AG52">
        <v>1</v>
      </c>
      <c r="AH52">
        <v>1</v>
      </c>
      <c r="AI52">
        <v>0</v>
      </c>
      <c r="AJ52" t="s">
        <v>51</v>
      </c>
      <c r="AK52">
        <v>1</v>
      </c>
      <c r="AL52">
        <f t="shared" si="3"/>
        <v>5</v>
      </c>
      <c r="AM52">
        <v>0</v>
      </c>
      <c r="AN52">
        <v>0</v>
      </c>
      <c r="AO52">
        <f t="shared" si="4"/>
        <v>0</v>
      </c>
    </row>
    <row r="53" spans="1:42" x14ac:dyDescent="0.3">
      <c r="A53" t="s">
        <v>297</v>
      </c>
      <c r="B53" s="17">
        <v>45973</v>
      </c>
      <c r="C53" s="6" t="s">
        <v>236</v>
      </c>
      <c r="D53" s="6" t="s">
        <v>241</v>
      </c>
      <c r="E53">
        <v>1</v>
      </c>
      <c r="F53">
        <v>2</v>
      </c>
      <c r="G53" t="str">
        <f>A53 &amp; "-" &amp; C53 &amp; "-" &amp; D53 &amp; "-" &amp; E53 &amp; "-" &amp; F53</f>
        <v>ID_52-G-11-1-2</v>
      </c>
      <c r="H53" s="4">
        <v>0.53819444444444442</v>
      </c>
      <c r="I53" s="4">
        <v>0.54513888888888884</v>
      </c>
      <c r="J53" s="25">
        <f t="shared" si="0"/>
        <v>12.916666666666666</v>
      </c>
      <c r="K53" s="5">
        <v>17.2</v>
      </c>
      <c r="L53" s="5">
        <v>18.100000000000001</v>
      </c>
      <c r="M53" s="5">
        <f t="shared" si="1"/>
        <v>17.649999999999999</v>
      </c>
      <c r="N53">
        <v>19.2</v>
      </c>
      <c r="O53">
        <v>23.5</v>
      </c>
      <c r="P53">
        <v>20</v>
      </c>
      <c r="Q53">
        <f t="shared" si="2"/>
        <v>20.900000000000002</v>
      </c>
      <c r="R53" t="s">
        <v>56</v>
      </c>
      <c r="S53" t="s">
        <v>56</v>
      </c>
      <c r="T53">
        <v>0</v>
      </c>
      <c r="U53" t="s">
        <v>35</v>
      </c>
      <c r="V53" s="2" t="s">
        <v>245</v>
      </c>
      <c r="W53">
        <v>3</v>
      </c>
      <c r="X53" t="s">
        <v>28</v>
      </c>
      <c r="Y53" t="s">
        <v>28</v>
      </c>
      <c r="Z53">
        <v>0</v>
      </c>
      <c r="AA53">
        <v>0</v>
      </c>
      <c r="AB53">
        <v>1</v>
      </c>
      <c r="AC53">
        <v>1</v>
      </c>
      <c r="AD53">
        <v>0</v>
      </c>
      <c r="AE53">
        <v>0</v>
      </c>
      <c r="AF53">
        <v>0</v>
      </c>
      <c r="AG53">
        <v>1</v>
      </c>
      <c r="AH53">
        <v>1</v>
      </c>
      <c r="AI53">
        <v>1</v>
      </c>
      <c r="AJ53" t="s">
        <v>36</v>
      </c>
      <c r="AK53">
        <v>0</v>
      </c>
      <c r="AL53">
        <f t="shared" si="3"/>
        <v>5</v>
      </c>
      <c r="AM53">
        <v>0</v>
      </c>
      <c r="AN53">
        <v>0</v>
      </c>
      <c r="AO53">
        <f t="shared" si="4"/>
        <v>0</v>
      </c>
    </row>
    <row r="54" spans="1:42" x14ac:dyDescent="0.3">
      <c r="A54" t="s">
        <v>298</v>
      </c>
      <c r="B54" s="17">
        <v>45973</v>
      </c>
      <c r="C54" s="6" t="s">
        <v>236</v>
      </c>
      <c r="D54" s="6">
        <v>1</v>
      </c>
      <c r="E54">
        <v>2</v>
      </c>
      <c r="F54">
        <v>1</v>
      </c>
      <c r="G54" t="str">
        <f>A54 &amp; "-" &amp; C54 &amp; "-" &amp; D54 &amp; "-" &amp; E54 &amp; "-" &amp; F54</f>
        <v>ID_53-G-1-2-1</v>
      </c>
      <c r="H54" s="4">
        <v>0.48749999999999999</v>
      </c>
      <c r="I54" s="4">
        <v>0.49444444444444446</v>
      </c>
      <c r="J54" s="25">
        <f t="shared" si="0"/>
        <v>11.7</v>
      </c>
      <c r="K54" s="5">
        <v>15</v>
      </c>
      <c r="L54" s="5">
        <v>14.7</v>
      </c>
      <c r="M54" s="5">
        <f t="shared" si="1"/>
        <v>14.85</v>
      </c>
      <c r="N54">
        <v>19.2</v>
      </c>
      <c r="O54">
        <v>23.5</v>
      </c>
      <c r="P54">
        <v>20</v>
      </c>
      <c r="Q54">
        <f t="shared" si="2"/>
        <v>20.900000000000002</v>
      </c>
      <c r="R54" t="s">
        <v>56</v>
      </c>
      <c r="S54" t="s">
        <v>56</v>
      </c>
      <c r="T54">
        <v>0</v>
      </c>
      <c r="U54" t="s">
        <v>35</v>
      </c>
      <c r="V54" s="2" t="s">
        <v>245</v>
      </c>
      <c r="W54">
        <v>3</v>
      </c>
      <c r="X54" t="s">
        <v>28</v>
      </c>
      <c r="Y54" t="s">
        <v>28</v>
      </c>
      <c r="Z54">
        <v>0</v>
      </c>
      <c r="AA54">
        <v>0</v>
      </c>
      <c r="AB54">
        <v>1</v>
      </c>
      <c r="AC54">
        <v>1</v>
      </c>
      <c r="AD54">
        <v>0</v>
      </c>
      <c r="AE54">
        <v>0</v>
      </c>
      <c r="AF54">
        <v>0</v>
      </c>
      <c r="AG54">
        <v>1</v>
      </c>
      <c r="AH54">
        <v>1</v>
      </c>
      <c r="AI54">
        <v>1</v>
      </c>
      <c r="AJ54" t="s">
        <v>193</v>
      </c>
      <c r="AK54">
        <v>2</v>
      </c>
      <c r="AL54">
        <f t="shared" si="3"/>
        <v>7</v>
      </c>
      <c r="AM54">
        <v>0</v>
      </c>
      <c r="AN54">
        <v>0</v>
      </c>
      <c r="AO54">
        <f t="shared" si="4"/>
        <v>0</v>
      </c>
    </row>
    <row r="55" spans="1:42" x14ac:dyDescent="0.3">
      <c r="A55" t="s">
        <v>299</v>
      </c>
      <c r="B55" s="17">
        <v>45973</v>
      </c>
      <c r="C55" s="6" t="s">
        <v>236</v>
      </c>
      <c r="D55" s="6">
        <v>1</v>
      </c>
      <c r="E55">
        <v>2</v>
      </c>
      <c r="F55">
        <v>1</v>
      </c>
      <c r="G55" t="str">
        <f>A55 &amp; "-" &amp; C55 &amp; "-" &amp; D55 &amp; "-" &amp; E55 &amp; "-" &amp; F55</f>
        <v>ID_54-G-1-2-1</v>
      </c>
      <c r="H55" s="4">
        <v>0.48749999999999999</v>
      </c>
      <c r="I55" s="4">
        <v>0.49513888888888891</v>
      </c>
      <c r="J55" s="25">
        <f t="shared" si="0"/>
        <v>11.7</v>
      </c>
      <c r="K55" s="5">
        <v>15</v>
      </c>
      <c r="L55" s="5">
        <v>14.7</v>
      </c>
      <c r="M55" s="5">
        <f t="shared" si="1"/>
        <v>14.85</v>
      </c>
      <c r="N55">
        <v>19.2</v>
      </c>
      <c r="O55">
        <v>23.5</v>
      </c>
      <c r="P55">
        <v>20</v>
      </c>
      <c r="Q55">
        <f t="shared" si="2"/>
        <v>20.900000000000002</v>
      </c>
      <c r="R55" t="s">
        <v>56</v>
      </c>
      <c r="S55" t="s">
        <v>56</v>
      </c>
      <c r="T55">
        <v>0</v>
      </c>
      <c r="U55" t="s">
        <v>35</v>
      </c>
      <c r="V55" s="2" t="s">
        <v>245</v>
      </c>
      <c r="W55">
        <v>3</v>
      </c>
      <c r="X55" t="s">
        <v>28</v>
      </c>
      <c r="Y55" t="s">
        <v>28</v>
      </c>
      <c r="Z55">
        <v>1</v>
      </c>
      <c r="AA55">
        <v>0</v>
      </c>
      <c r="AB55">
        <v>1</v>
      </c>
      <c r="AC55">
        <v>1</v>
      </c>
      <c r="AD55">
        <v>0</v>
      </c>
      <c r="AE55">
        <v>0</v>
      </c>
      <c r="AF55">
        <v>0</v>
      </c>
      <c r="AG55">
        <v>1</v>
      </c>
      <c r="AH55">
        <v>1</v>
      </c>
      <c r="AI55">
        <v>0</v>
      </c>
      <c r="AJ55" t="s">
        <v>29</v>
      </c>
      <c r="AK55">
        <v>1</v>
      </c>
      <c r="AL55">
        <f t="shared" si="3"/>
        <v>6</v>
      </c>
      <c r="AM55">
        <v>0</v>
      </c>
      <c r="AN55">
        <v>0</v>
      </c>
      <c r="AO55">
        <f t="shared" si="4"/>
        <v>0</v>
      </c>
    </row>
    <row r="56" spans="1:42" x14ac:dyDescent="0.3">
      <c r="A56" t="s">
        <v>300</v>
      </c>
      <c r="B56" s="17">
        <v>45973</v>
      </c>
      <c r="C56" s="6" t="s">
        <v>236</v>
      </c>
      <c r="D56" s="6">
        <v>1</v>
      </c>
      <c r="E56">
        <v>3</v>
      </c>
      <c r="F56">
        <v>1</v>
      </c>
      <c r="G56" t="str">
        <f>A56 &amp; "-" &amp; C56 &amp; "-" &amp; D56 &amp; "-" &amp; E56 &amp; "-" &amp; F56</f>
        <v>ID_55-G-1-3-1</v>
      </c>
      <c r="H56" s="4">
        <v>0.47569444444444442</v>
      </c>
      <c r="I56" s="4">
        <v>0.4826388888888889</v>
      </c>
      <c r="J56" s="25">
        <f t="shared" si="0"/>
        <v>11.416666666666666</v>
      </c>
      <c r="K56" s="5">
        <v>14.1</v>
      </c>
      <c r="L56" s="5">
        <v>15</v>
      </c>
      <c r="M56" s="5">
        <f t="shared" si="1"/>
        <v>14.55</v>
      </c>
      <c r="N56">
        <v>19.2</v>
      </c>
      <c r="O56">
        <v>23.5</v>
      </c>
      <c r="P56">
        <v>20</v>
      </c>
      <c r="Q56">
        <f t="shared" si="2"/>
        <v>20.900000000000002</v>
      </c>
      <c r="R56" t="s">
        <v>56</v>
      </c>
      <c r="S56" t="s">
        <v>56</v>
      </c>
      <c r="T56">
        <v>0</v>
      </c>
      <c r="U56" t="s">
        <v>35</v>
      </c>
      <c r="V56" s="2" t="s">
        <v>245</v>
      </c>
      <c r="W56">
        <v>3</v>
      </c>
      <c r="X56" t="s">
        <v>28</v>
      </c>
      <c r="Y56" t="s">
        <v>28</v>
      </c>
      <c r="Z56">
        <v>0</v>
      </c>
      <c r="AA56">
        <v>0</v>
      </c>
      <c r="AB56">
        <v>1</v>
      </c>
      <c r="AC56">
        <v>1</v>
      </c>
      <c r="AD56">
        <v>0</v>
      </c>
      <c r="AE56">
        <v>0</v>
      </c>
      <c r="AF56">
        <v>0</v>
      </c>
      <c r="AG56">
        <v>1</v>
      </c>
      <c r="AH56">
        <v>1</v>
      </c>
      <c r="AI56">
        <v>0</v>
      </c>
      <c r="AJ56" t="s">
        <v>123</v>
      </c>
      <c r="AK56">
        <v>2</v>
      </c>
      <c r="AL56">
        <f t="shared" si="3"/>
        <v>6</v>
      </c>
      <c r="AM56">
        <v>0</v>
      </c>
      <c r="AN56">
        <v>0</v>
      </c>
      <c r="AO56">
        <f t="shared" si="4"/>
        <v>0</v>
      </c>
    </row>
    <row r="57" spans="1:42" x14ac:dyDescent="0.3">
      <c r="A57" t="s">
        <v>301</v>
      </c>
      <c r="B57" s="17">
        <v>45973</v>
      </c>
      <c r="C57" s="6" t="s">
        <v>236</v>
      </c>
      <c r="D57" s="6">
        <v>1</v>
      </c>
      <c r="E57">
        <v>3</v>
      </c>
      <c r="F57">
        <v>1</v>
      </c>
      <c r="G57" t="str">
        <f>A57 &amp; "-" &amp; C57 &amp; "-" &amp; D57 &amp; "-" &amp; E57 &amp; "-" &amp; F57</f>
        <v>ID_56-G-1-3-1</v>
      </c>
      <c r="H57" s="4">
        <v>0.47569444444444442</v>
      </c>
      <c r="I57" s="4">
        <v>0.4826388888888889</v>
      </c>
      <c r="J57" s="25">
        <f t="shared" si="0"/>
        <v>11.416666666666666</v>
      </c>
      <c r="K57" s="5">
        <v>14.1</v>
      </c>
      <c r="L57" s="5">
        <v>15</v>
      </c>
      <c r="M57" s="5">
        <f t="shared" si="1"/>
        <v>14.55</v>
      </c>
      <c r="N57">
        <v>19.2</v>
      </c>
      <c r="O57">
        <v>23.5</v>
      </c>
      <c r="P57">
        <v>20</v>
      </c>
      <c r="Q57">
        <f t="shared" si="2"/>
        <v>20.900000000000002</v>
      </c>
      <c r="R57" t="s">
        <v>56</v>
      </c>
      <c r="S57" t="s">
        <v>56</v>
      </c>
      <c r="T57">
        <v>0</v>
      </c>
      <c r="U57" t="s">
        <v>35</v>
      </c>
      <c r="V57" s="2" t="s">
        <v>245</v>
      </c>
      <c r="W57">
        <v>3</v>
      </c>
      <c r="X57" t="s">
        <v>28</v>
      </c>
      <c r="Y57" t="s">
        <v>28</v>
      </c>
      <c r="Z57">
        <v>1</v>
      </c>
      <c r="AA57">
        <v>1</v>
      </c>
      <c r="AB57">
        <v>1</v>
      </c>
      <c r="AC57">
        <v>0</v>
      </c>
      <c r="AD57">
        <v>1</v>
      </c>
      <c r="AE57">
        <v>0</v>
      </c>
      <c r="AF57">
        <v>0</v>
      </c>
      <c r="AG57">
        <v>1</v>
      </c>
      <c r="AH57">
        <v>0</v>
      </c>
      <c r="AI57">
        <v>1</v>
      </c>
      <c r="AJ57" t="s">
        <v>125</v>
      </c>
      <c r="AK57">
        <v>4</v>
      </c>
      <c r="AL57">
        <f t="shared" si="3"/>
        <v>10</v>
      </c>
      <c r="AM57">
        <v>0</v>
      </c>
      <c r="AN57">
        <v>0</v>
      </c>
      <c r="AO57">
        <f t="shared" si="4"/>
        <v>0</v>
      </c>
    </row>
    <row r="58" spans="1:42" x14ac:dyDescent="0.3">
      <c r="A58" t="s">
        <v>302</v>
      </c>
      <c r="B58" s="17">
        <v>45973</v>
      </c>
      <c r="C58" s="6" t="s">
        <v>236</v>
      </c>
      <c r="D58" s="6">
        <v>5</v>
      </c>
      <c r="E58">
        <v>1</v>
      </c>
      <c r="F58">
        <v>1</v>
      </c>
      <c r="G58" t="str">
        <f>A58 &amp; "-" &amp; C58 &amp; "-" &amp; D58 &amp; "-" &amp; E58 &amp; "-" &amp; F58</f>
        <v>ID_57-G-5-1-1</v>
      </c>
      <c r="H58" s="4">
        <v>0.54791666666666672</v>
      </c>
      <c r="I58" s="4">
        <v>0.55486111111111114</v>
      </c>
      <c r="J58" s="25">
        <f t="shared" si="0"/>
        <v>13.15</v>
      </c>
      <c r="K58" s="5">
        <v>18.100000000000001</v>
      </c>
      <c r="L58" s="5">
        <v>19</v>
      </c>
      <c r="M58" s="5">
        <f t="shared" si="1"/>
        <v>18.55</v>
      </c>
      <c r="N58">
        <v>19.2</v>
      </c>
      <c r="O58">
        <v>23.5</v>
      </c>
      <c r="P58">
        <v>20</v>
      </c>
      <c r="Q58">
        <f t="shared" si="2"/>
        <v>20.900000000000002</v>
      </c>
      <c r="R58" t="s">
        <v>56</v>
      </c>
      <c r="S58" t="s">
        <v>56</v>
      </c>
      <c r="T58">
        <v>0</v>
      </c>
      <c r="U58" t="s">
        <v>35</v>
      </c>
      <c r="V58" s="2" t="s">
        <v>245</v>
      </c>
      <c r="W58">
        <v>3</v>
      </c>
      <c r="X58" t="s">
        <v>28</v>
      </c>
      <c r="Y58" t="s">
        <v>28</v>
      </c>
      <c r="Z58">
        <v>1</v>
      </c>
      <c r="AA58">
        <v>0</v>
      </c>
      <c r="AB58">
        <v>1</v>
      </c>
      <c r="AC58">
        <v>1</v>
      </c>
      <c r="AD58">
        <v>0</v>
      </c>
      <c r="AE58">
        <v>0</v>
      </c>
      <c r="AF58">
        <v>0</v>
      </c>
      <c r="AG58">
        <v>1</v>
      </c>
      <c r="AH58">
        <v>1</v>
      </c>
      <c r="AI58">
        <v>0</v>
      </c>
      <c r="AJ58" t="s">
        <v>121</v>
      </c>
      <c r="AK58">
        <v>2</v>
      </c>
      <c r="AL58">
        <f t="shared" si="3"/>
        <v>7</v>
      </c>
      <c r="AM58">
        <v>0</v>
      </c>
      <c r="AN58">
        <v>0</v>
      </c>
      <c r="AO58">
        <f t="shared" si="4"/>
        <v>0</v>
      </c>
      <c r="AP58" t="s">
        <v>122</v>
      </c>
    </row>
    <row r="59" spans="1:42" x14ac:dyDescent="0.3">
      <c r="A59" t="s">
        <v>303</v>
      </c>
      <c r="B59" s="17">
        <v>45973</v>
      </c>
      <c r="C59" s="6" t="s">
        <v>236</v>
      </c>
      <c r="D59" s="6">
        <v>5</v>
      </c>
      <c r="E59">
        <v>1</v>
      </c>
      <c r="F59">
        <v>1</v>
      </c>
      <c r="G59" t="str">
        <f>A59 &amp; "-" &amp; C59 &amp; "-" &amp; D59 &amp; "-" &amp; E59 &amp; "-" &amp; F59</f>
        <v>ID_58-G-5-1-1</v>
      </c>
      <c r="H59" s="4">
        <v>0.54791666666666672</v>
      </c>
      <c r="I59" s="4">
        <v>0.55486111111111114</v>
      </c>
      <c r="J59" s="25">
        <f t="shared" si="0"/>
        <v>13.15</v>
      </c>
      <c r="K59" s="5">
        <v>17.2</v>
      </c>
      <c r="L59" s="5">
        <v>19</v>
      </c>
      <c r="M59" s="5">
        <f t="shared" si="1"/>
        <v>18.100000000000001</v>
      </c>
      <c r="N59">
        <v>19.2</v>
      </c>
      <c r="O59">
        <v>23.5</v>
      </c>
      <c r="P59">
        <v>20</v>
      </c>
      <c r="Q59">
        <f t="shared" si="2"/>
        <v>20.900000000000002</v>
      </c>
      <c r="R59" t="s">
        <v>56</v>
      </c>
      <c r="S59" t="s">
        <v>56</v>
      </c>
      <c r="T59">
        <v>0</v>
      </c>
      <c r="U59" t="s">
        <v>35</v>
      </c>
      <c r="V59" s="2" t="s">
        <v>245</v>
      </c>
      <c r="W59">
        <v>3</v>
      </c>
      <c r="X59" t="s">
        <v>28</v>
      </c>
      <c r="Y59" t="s">
        <v>28</v>
      </c>
      <c r="Z59">
        <v>1</v>
      </c>
      <c r="AA59">
        <v>1</v>
      </c>
      <c r="AB59">
        <v>1</v>
      </c>
      <c r="AC59">
        <v>1</v>
      </c>
      <c r="AD59">
        <v>0</v>
      </c>
      <c r="AE59">
        <v>0</v>
      </c>
      <c r="AF59">
        <v>0</v>
      </c>
      <c r="AG59">
        <v>1</v>
      </c>
      <c r="AH59">
        <v>1</v>
      </c>
      <c r="AI59">
        <v>0</v>
      </c>
      <c r="AJ59" t="s">
        <v>43</v>
      </c>
      <c r="AK59">
        <v>1</v>
      </c>
      <c r="AL59">
        <f t="shared" si="3"/>
        <v>7</v>
      </c>
      <c r="AM59">
        <v>0</v>
      </c>
      <c r="AN59">
        <v>0</v>
      </c>
      <c r="AO59">
        <f t="shared" si="4"/>
        <v>0</v>
      </c>
      <c r="AP59" t="s">
        <v>124</v>
      </c>
    </row>
    <row r="60" spans="1:42" x14ac:dyDescent="0.3">
      <c r="A60" t="s">
        <v>304</v>
      </c>
      <c r="B60" s="17">
        <v>45973</v>
      </c>
      <c r="C60" s="6" t="s">
        <v>236</v>
      </c>
      <c r="D60" s="6">
        <v>7</v>
      </c>
      <c r="E60">
        <v>1</v>
      </c>
      <c r="F60">
        <v>1</v>
      </c>
      <c r="G60" t="str">
        <f>A60 &amp; "-" &amp; C60 &amp; "-" &amp; D60 &amp; "-" &amp; E60 &amp; "-" &amp; F60</f>
        <v>ID_59-G-7-1-1</v>
      </c>
      <c r="H60" s="4">
        <v>0.58958333333333335</v>
      </c>
      <c r="I60" s="4">
        <v>0.59791666666666665</v>
      </c>
      <c r="J60" s="25">
        <f t="shared" si="0"/>
        <v>14.15</v>
      </c>
      <c r="K60" s="5">
        <v>18.5</v>
      </c>
      <c r="L60" s="5">
        <v>19.600000000000001</v>
      </c>
      <c r="M60" s="5">
        <f t="shared" si="1"/>
        <v>19.05</v>
      </c>
      <c r="N60">
        <v>19.2</v>
      </c>
      <c r="O60">
        <v>23.5</v>
      </c>
      <c r="P60">
        <v>20</v>
      </c>
      <c r="Q60">
        <f t="shared" si="2"/>
        <v>20.900000000000002</v>
      </c>
      <c r="R60" t="s">
        <v>56</v>
      </c>
      <c r="S60" t="s">
        <v>56</v>
      </c>
      <c r="T60">
        <v>0</v>
      </c>
      <c r="U60" t="s">
        <v>31</v>
      </c>
      <c r="V60" s="2" t="s">
        <v>245</v>
      </c>
      <c r="W60">
        <v>4</v>
      </c>
      <c r="X60" t="s">
        <v>28</v>
      </c>
      <c r="Y60" t="s">
        <v>28</v>
      </c>
      <c r="Z60">
        <v>1</v>
      </c>
      <c r="AA60">
        <v>0</v>
      </c>
      <c r="AB60">
        <v>0</v>
      </c>
      <c r="AC60">
        <v>1</v>
      </c>
      <c r="AD60">
        <v>0</v>
      </c>
      <c r="AE60">
        <v>0</v>
      </c>
      <c r="AF60">
        <v>0</v>
      </c>
      <c r="AG60">
        <v>0</v>
      </c>
      <c r="AH60">
        <v>0</v>
      </c>
      <c r="AI60">
        <v>0</v>
      </c>
      <c r="AJ60" t="s">
        <v>36</v>
      </c>
      <c r="AK60">
        <v>0</v>
      </c>
      <c r="AL60">
        <f t="shared" si="3"/>
        <v>2</v>
      </c>
      <c r="AM60">
        <v>0</v>
      </c>
      <c r="AN60">
        <v>0</v>
      </c>
      <c r="AO60">
        <f t="shared" si="4"/>
        <v>0</v>
      </c>
    </row>
    <row r="61" spans="1:42" x14ac:dyDescent="0.3">
      <c r="A61" t="s">
        <v>305</v>
      </c>
      <c r="B61" s="17">
        <v>45973</v>
      </c>
      <c r="C61" s="6" t="s">
        <v>236</v>
      </c>
      <c r="D61" s="6">
        <v>7</v>
      </c>
      <c r="E61">
        <v>1</v>
      </c>
      <c r="F61">
        <v>1</v>
      </c>
      <c r="G61" t="str">
        <f>A61 &amp; "-" &amp; C61 &amp; "-" &amp; D61 &amp; "-" &amp; E61 &amp; "-" &amp; F61</f>
        <v>ID_60-G-7-1-1</v>
      </c>
      <c r="H61" s="4">
        <v>0.59027777777777779</v>
      </c>
      <c r="I61" s="4">
        <v>0.59791666666666665</v>
      </c>
      <c r="J61" s="25">
        <f t="shared" si="0"/>
        <v>14.166666666666666</v>
      </c>
      <c r="K61" s="5">
        <v>18.5</v>
      </c>
      <c r="L61" s="5">
        <v>19.600000000000001</v>
      </c>
      <c r="M61" s="5">
        <f t="shared" si="1"/>
        <v>19.05</v>
      </c>
      <c r="N61">
        <v>19.2</v>
      </c>
      <c r="O61">
        <v>23.5</v>
      </c>
      <c r="P61">
        <v>20</v>
      </c>
      <c r="Q61">
        <f t="shared" si="2"/>
        <v>20.900000000000002</v>
      </c>
      <c r="R61" t="s">
        <v>56</v>
      </c>
      <c r="S61" t="s">
        <v>56</v>
      </c>
      <c r="T61">
        <v>0</v>
      </c>
      <c r="U61" t="s">
        <v>31</v>
      </c>
      <c r="V61" s="2" t="s">
        <v>245</v>
      </c>
      <c r="W61">
        <v>4</v>
      </c>
      <c r="X61" t="s">
        <v>28</v>
      </c>
      <c r="Y61" t="s">
        <v>28</v>
      </c>
      <c r="Z61">
        <v>0</v>
      </c>
      <c r="AA61">
        <v>0</v>
      </c>
      <c r="AB61">
        <v>0</v>
      </c>
      <c r="AC61">
        <v>1</v>
      </c>
      <c r="AD61">
        <v>0</v>
      </c>
      <c r="AE61">
        <v>0</v>
      </c>
      <c r="AF61">
        <v>0</v>
      </c>
      <c r="AG61">
        <v>1</v>
      </c>
      <c r="AH61">
        <v>1</v>
      </c>
      <c r="AI61">
        <v>0</v>
      </c>
      <c r="AJ61" t="s">
        <v>36</v>
      </c>
      <c r="AK61">
        <v>0</v>
      </c>
      <c r="AL61">
        <f t="shared" si="3"/>
        <v>3</v>
      </c>
      <c r="AM61">
        <v>0</v>
      </c>
      <c r="AN61">
        <v>0</v>
      </c>
      <c r="AO61">
        <f t="shared" si="4"/>
        <v>0</v>
      </c>
    </row>
    <row r="62" spans="1:42" x14ac:dyDescent="0.3">
      <c r="A62" t="s">
        <v>306</v>
      </c>
      <c r="B62" s="17">
        <v>45973</v>
      </c>
      <c r="C62" s="6" t="s">
        <v>236</v>
      </c>
      <c r="D62" s="6">
        <v>7</v>
      </c>
      <c r="E62">
        <v>2</v>
      </c>
      <c r="F62">
        <v>1</v>
      </c>
      <c r="G62" t="str">
        <f>A62 &amp; "-" &amp; C62 &amp; "-" &amp; D62 &amp; "-" &amp; E62 &amp; "-" &amp; F62</f>
        <v>ID_61-G-7-2-1</v>
      </c>
      <c r="H62" s="4">
        <v>0.6</v>
      </c>
      <c r="I62" s="4">
        <v>0.6069444444444444</v>
      </c>
      <c r="J62" s="25">
        <f t="shared" si="0"/>
        <v>14.4</v>
      </c>
      <c r="K62" s="5">
        <v>19.600000000000001</v>
      </c>
      <c r="L62" s="5">
        <v>19.7</v>
      </c>
      <c r="M62" s="5">
        <f t="shared" si="1"/>
        <v>19.649999999999999</v>
      </c>
      <c r="N62">
        <v>19.2</v>
      </c>
      <c r="O62">
        <v>23.5</v>
      </c>
      <c r="P62">
        <v>20</v>
      </c>
      <c r="Q62">
        <f t="shared" si="2"/>
        <v>20.900000000000002</v>
      </c>
      <c r="R62" t="s">
        <v>56</v>
      </c>
      <c r="S62" t="s">
        <v>56</v>
      </c>
      <c r="T62">
        <v>0</v>
      </c>
      <c r="U62" t="s">
        <v>31</v>
      </c>
      <c r="V62" s="2" t="s">
        <v>245</v>
      </c>
      <c r="W62">
        <v>4</v>
      </c>
      <c r="X62" t="s">
        <v>28</v>
      </c>
      <c r="Y62" t="s">
        <v>28</v>
      </c>
      <c r="Z62">
        <v>0</v>
      </c>
      <c r="AA62">
        <v>0</v>
      </c>
      <c r="AB62">
        <v>1</v>
      </c>
      <c r="AC62">
        <v>0</v>
      </c>
      <c r="AD62">
        <v>0</v>
      </c>
      <c r="AE62">
        <v>1</v>
      </c>
      <c r="AF62">
        <v>0</v>
      </c>
      <c r="AG62">
        <v>1</v>
      </c>
      <c r="AH62">
        <v>1</v>
      </c>
      <c r="AI62">
        <v>0</v>
      </c>
      <c r="AJ62" t="s">
        <v>36</v>
      </c>
      <c r="AK62">
        <v>0</v>
      </c>
      <c r="AL62">
        <f t="shared" si="3"/>
        <v>4</v>
      </c>
      <c r="AM62">
        <v>0</v>
      </c>
      <c r="AN62">
        <v>0</v>
      </c>
      <c r="AO62">
        <f t="shared" si="4"/>
        <v>0</v>
      </c>
    </row>
    <row r="63" spans="1:42" x14ac:dyDescent="0.3">
      <c r="A63" t="s">
        <v>307</v>
      </c>
      <c r="B63" s="17">
        <v>45973</v>
      </c>
      <c r="C63" s="6" t="s">
        <v>236</v>
      </c>
      <c r="D63" s="6">
        <v>7</v>
      </c>
      <c r="E63">
        <v>2</v>
      </c>
      <c r="F63">
        <v>1</v>
      </c>
      <c r="G63" t="str">
        <f>A63 &amp; "-" &amp; C63 &amp; "-" &amp; D63 &amp; "-" &amp; E63 &amp; "-" &amp; F63</f>
        <v>ID_62-G-7-2-1</v>
      </c>
      <c r="H63" s="4">
        <v>0.6</v>
      </c>
      <c r="I63" s="4">
        <v>0.6069444444444444</v>
      </c>
      <c r="J63" s="25">
        <f t="shared" si="0"/>
        <v>14.4</v>
      </c>
      <c r="K63" s="5">
        <v>19.600000000000001</v>
      </c>
      <c r="L63" s="5">
        <v>19.7</v>
      </c>
      <c r="M63" s="5">
        <f t="shared" si="1"/>
        <v>19.649999999999999</v>
      </c>
      <c r="N63">
        <v>19.2</v>
      </c>
      <c r="O63">
        <v>23.5</v>
      </c>
      <c r="P63">
        <v>20</v>
      </c>
      <c r="Q63">
        <f t="shared" si="2"/>
        <v>20.900000000000002</v>
      </c>
      <c r="R63" t="s">
        <v>56</v>
      </c>
      <c r="S63" t="s">
        <v>56</v>
      </c>
      <c r="T63">
        <v>0</v>
      </c>
      <c r="U63" t="s">
        <v>31</v>
      </c>
      <c r="V63" s="2" t="s">
        <v>245</v>
      </c>
      <c r="W63">
        <v>4</v>
      </c>
      <c r="X63" t="s">
        <v>28</v>
      </c>
      <c r="Y63" t="s">
        <v>28</v>
      </c>
      <c r="Z63">
        <v>1</v>
      </c>
      <c r="AA63">
        <v>0</v>
      </c>
      <c r="AB63">
        <v>1</v>
      </c>
      <c r="AC63">
        <v>0</v>
      </c>
      <c r="AD63">
        <v>0</v>
      </c>
      <c r="AE63">
        <v>0</v>
      </c>
      <c r="AF63">
        <v>0</v>
      </c>
      <c r="AG63">
        <v>1</v>
      </c>
      <c r="AH63">
        <v>1</v>
      </c>
      <c r="AI63">
        <v>0</v>
      </c>
      <c r="AJ63" t="s">
        <v>36</v>
      </c>
      <c r="AK63">
        <v>0</v>
      </c>
      <c r="AL63">
        <f t="shared" si="3"/>
        <v>4</v>
      </c>
      <c r="AM63">
        <v>0</v>
      </c>
      <c r="AN63">
        <v>0</v>
      </c>
      <c r="AO63">
        <f t="shared" si="4"/>
        <v>0</v>
      </c>
    </row>
    <row r="64" spans="1:42" x14ac:dyDescent="0.3">
      <c r="A64" t="s">
        <v>308</v>
      </c>
      <c r="B64" s="17">
        <v>45974</v>
      </c>
      <c r="C64" s="6" t="s">
        <v>236</v>
      </c>
      <c r="D64" s="6">
        <v>1</v>
      </c>
      <c r="E64">
        <v>1</v>
      </c>
      <c r="F64">
        <v>1</v>
      </c>
      <c r="G64" t="str">
        <f>A64 &amp; "-" &amp; C64 &amp; "-" &amp; D64 &amp; "-" &amp; E64 &amp; "-" &amp; F64</f>
        <v>ID_63-G-1-1-1</v>
      </c>
      <c r="H64" s="4">
        <v>0.45902777777777776</v>
      </c>
      <c r="I64" s="4">
        <v>0.46597222222222223</v>
      </c>
      <c r="J64" s="25">
        <f t="shared" si="0"/>
        <v>11.016666666666667</v>
      </c>
      <c r="K64" s="5">
        <v>19.7</v>
      </c>
      <c r="L64" s="5">
        <v>19.8</v>
      </c>
      <c r="M64" s="5">
        <f t="shared" si="1"/>
        <v>19.75</v>
      </c>
      <c r="N64">
        <v>23.5</v>
      </c>
      <c r="O64">
        <v>20</v>
      </c>
      <c r="P64">
        <v>21.5</v>
      </c>
      <c r="Q64">
        <f t="shared" si="2"/>
        <v>21.666666666666668</v>
      </c>
      <c r="R64" t="s">
        <v>32</v>
      </c>
      <c r="S64" t="s">
        <v>32</v>
      </c>
      <c r="T64">
        <v>2</v>
      </c>
      <c r="U64" t="s">
        <v>35</v>
      </c>
      <c r="V64" s="2" t="s">
        <v>245</v>
      </c>
      <c r="W64">
        <v>3</v>
      </c>
      <c r="X64" t="s">
        <v>28</v>
      </c>
      <c r="Y64" t="s">
        <v>28</v>
      </c>
      <c r="Z64">
        <v>1</v>
      </c>
      <c r="AA64">
        <v>0</v>
      </c>
      <c r="AB64">
        <v>1</v>
      </c>
      <c r="AC64">
        <v>1</v>
      </c>
      <c r="AD64">
        <v>0</v>
      </c>
      <c r="AE64">
        <v>1</v>
      </c>
      <c r="AF64">
        <v>0</v>
      </c>
      <c r="AG64">
        <v>1</v>
      </c>
      <c r="AH64">
        <v>1</v>
      </c>
      <c r="AI64">
        <v>1</v>
      </c>
      <c r="AJ64" t="s">
        <v>43</v>
      </c>
      <c r="AK64">
        <v>1</v>
      </c>
      <c r="AL64">
        <f t="shared" si="3"/>
        <v>8</v>
      </c>
      <c r="AM64">
        <v>0</v>
      </c>
      <c r="AN64">
        <v>0</v>
      </c>
      <c r="AO64">
        <f t="shared" si="4"/>
        <v>0</v>
      </c>
    </row>
    <row r="65" spans="1:42" x14ac:dyDescent="0.3">
      <c r="A65" t="s">
        <v>309</v>
      </c>
      <c r="B65" s="17">
        <v>45974</v>
      </c>
      <c r="C65" s="6" t="s">
        <v>236</v>
      </c>
      <c r="D65" s="6" t="s">
        <v>241</v>
      </c>
      <c r="E65">
        <v>1</v>
      </c>
      <c r="F65">
        <v>1</v>
      </c>
      <c r="G65" t="str">
        <f>A65 &amp; "-" &amp; C65 &amp; "-" &amp; D65 &amp; "-" &amp; E65 &amp; "-" &amp; F65</f>
        <v>ID_64-G-11-1-1</v>
      </c>
      <c r="H65" s="4">
        <v>0.49930555555555556</v>
      </c>
      <c r="I65" s="4">
        <v>0.50694444444444442</v>
      </c>
      <c r="J65" s="25">
        <f t="shared" si="0"/>
        <v>11.983333333333333</v>
      </c>
      <c r="K65" s="5">
        <v>21.9</v>
      </c>
      <c r="L65" s="5">
        <v>22.1</v>
      </c>
      <c r="M65" s="5">
        <f t="shared" si="1"/>
        <v>22</v>
      </c>
      <c r="N65">
        <v>23.5</v>
      </c>
      <c r="O65">
        <v>20</v>
      </c>
      <c r="P65">
        <v>21.5</v>
      </c>
      <c r="Q65">
        <f t="shared" si="2"/>
        <v>21.666666666666668</v>
      </c>
      <c r="R65" t="s">
        <v>50</v>
      </c>
      <c r="S65" t="s">
        <v>50</v>
      </c>
      <c r="T65">
        <v>1</v>
      </c>
      <c r="U65" t="s">
        <v>35</v>
      </c>
      <c r="V65" s="2" t="s">
        <v>245</v>
      </c>
      <c r="W65">
        <v>3</v>
      </c>
      <c r="X65" t="s">
        <v>28</v>
      </c>
      <c r="Y65" t="s">
        <v>28</v>
      </c>
      <c r="Z65">
        <v>0</v>
      </c>
      <c r="AA65">
        <v>0</v>
      </c>
      <c r="AB65">
        <v>1</v>
      </c>
      <c r="AC65">
        <v>1</v>
      </c>
      <c r="AD65">
        <v>0</v>
      </c>
      <c r="AE65">
        <v>0</v>
      </c>
      <c r="AF65">
        <v>0</v>
      </c>
      <c r="AG65">
        <v>1</v>
      </c>
      <c r="AH65">
        <v>1</v>
      </c>
      <c r="AI65">
        <v>1</v>
      </c>
      <c r="AJ65" t="s">
        <v>36</v>
      </c>
      <c r="AK65">
        <v>0</v>
      </c>
      <c r="AL65">
        <f t="shared" si="3"/>
        <v>5</v>
      </c>
      <c r="AM65">
        <v>1</v>
      </c>
      <c r="AN65">
        <v>0</v>
      </c>
      <c r="AO65">
        <f t="shared" si="4"/>
        <v>1</v>
      </c>
    </row>
    <row r="66" spans="1:42" x14ac:dyDescent="0.3">
      <c r="A66" t="s">
        <v>310</v>
      </c>
      <c r="B66" s="17">
        <v>45974</v>
      </c>
      <c r="C66" s="6" t="s">
        <v>236</v>
      </c>
      <c r="D66" s="6" t="s">
        <v>241</v>
      </c>
      <c r="E66">
        <v>1</v>
      </c>
      <c r="F66">
        <v>1</v>
      </c>
      <c r="G66" t="str">
        <f>A66 &amp; "-" &amp; C66 &amp; "-" &amp; D66 &amp; "-" &amp; E66 &amp; "-" &amp; F66</f>
        <v>ID_65-G-11-1-1</v>
      </c>
      <c r="H66" s="4">
        <v>0.49930555555555556</v>
      </c>
      <c r="I66" s="4">
        <v>0.50624999999999998</v>
      </c>
      <c r="J66" s="25">
        <f t="shared" ref="J66:J129" si="5">HOUR(H66)+(MINUTE(H66))/60</f>
        <v>11.983333333333333</v>
      </c>
      <c r="K66" s="5">
        <v>21.9</v>
      </c>
      <c r="L66" s="5">
        <v>22.1</v>
      </c>
      <c r="M66" s="5">
        <f t="shared" ref="M66:M129" si="6">(K66+L66)/2</f>
        <v>22</v>
      </c>
      <c r="N66">
        <v>23.5</v>
      </c>
      <c r="O66">
        <v>20</v>
      </c>
      <c r="P66">
        <v>21.5</v>
      </c>
      <c r="Q66">
        <f t="shared" ref="Q66:Q129" si="7">(N66+O66+P66)/3</f>
        <v>21.666666666666668</v>
      </c>
      <c r="R66" t="s">
        <v>50</v>
      </c>
      <c r="S66" t="s">
        <v>50</v>
      </c>
      <c r="T66">
        <v>1</v>
      </c>
      <c r="U66" t="s">
        <v>35</v>
      </c>
      <c r="V66" s="2" t="s">
        <v>245</v>
      </c>
      <c r="W66">
        <v>3</v>
      </c>
      <c r="X66" t="s">
        <v>28</v>
      </c>
      <c r="Y66" t="s">
        <v>28</v>
      </c>
      <c r="Z66">
        <v>1</v>
      </c>
      <c r="AA66">
        <v>0</v>
      </c>
      <c r="AB66">
        <v>1</v>
      </c>
      <c r="AC66">
        <v>0</v>
      </c>
      <c r="AD66">
        <v>0</v>
      </c>
      <c r="AE66">
        <v>0</v>
      </c>
      <c r="AF66">
        <v>0</v>
      </c>
      <c r="AG66">
        <v>0</v>
      </c>
      <c r="AH66">
        <v>1</v>
      </c>
      <c r="AI66">
        <v>1</v>
      </c>
      <c r="AJ66" t="s">
        <v>165</v>
      </c>
      <c r="AK66">
        <v>3</v>
      </c>
      <c r="AL66">
        <f t="shared" ref="AL66:AL129" si="8">Z66+AA66+AB66+AC66+AD66+AE66+AF66+AG66+AH66+AI66+AK66</f>
        <v>7</v>
      </c>
      <c r="AM66">
        <v>1</v>
      </c>
      <c r="AN66">
        <v>0</v>
      </c>
      <c r="AO66">
        <f t="shared" ref="AO66:AO129" si="9">AM66+AN66</f>
        <v>1</v>
      </c>
    </row>
    <row r="67" spans="1:42" x14ac:dyDescent="0.3">
      <c r="A67" t="s">
        <v>311</v>
      </c>
      <c r="B67" s="17">
        <v>45974</v>
      </c>
      <c r="C67" s="6" t="s">
        <v>236</v>
      </c>
      <c r="D67" s="6">
        <v>1</v>
      </c>
      <c r="E67">
        <v>1</v>
      </c>
      <c r="F67">
        <v>1</v>
      </c>
      <c r="G67" t="str">
        <f>A67 &amp; "-" &amp; C67 &amp; "-" &amp; D67 &amp; "-" &amp; E67 &amp; "-" &amp; F67</f>
        <v>ID_66-G-1-1-1</v>
      </c>
      <c r="H67" s="4">
        <v>0.45833333333333331</v>
      </c>
      <c r="I67" s="4">
        <v>0.46666666666666667</v>
      </c>
      <c r="J67" s="25">
        <f t="shared" si="5"/>
        <v>11</v>
      </c>
      <c r="K67" s="5">
        <v>19.7</v>
      </c>
      <c r="L67" s="5">
        <v>19.8</v>
      </c>
      <c r="M67" s="5">
        <f t="shared" si="6"/>
        <v>19.75</v>
      </c>
      <c r="N67">
        <v>23.5</v>
      </c>
      <c r="O67">
        <v>20</v>
      </c>
      <c r="P67">
        <v>21.5</v>
      </c>
      <c r="Q67">
        <f t="shared" si="7"/>
        <v>21.666666666666668</v>
      </c>
      <c r="R67" t="s">
        <v>32</v>
      </c>
      <c r="S67" t="s">
        <v>32</v>
      </c>
      <c r="T67">
        <v>2</v>
      </c>
      <c r="U67" t="s">
        <v>35</v>
      </c>
      <c r="V67" s="2" t="s">
        <v>245</v>
      </c>
      <c r="W67">
        <v>3</v>
      </c>
      <c r="X67" t="s">
        <v>28</v>
      </c>
      <c r="Y67" t="s">
        <v>28</v>
      </c>
      <c r="Z67">
        <v>0</v>
      </c>
      <c r="AA67">
        <v>0</v>
      </c>
      <c r="AB67">
        <v>1</v>
      </c>
      <c r="AC67">
        <v>1</v>
      </c>
      <c r="AD67">
        <v>0</v>
      </c>
      <c r="AE67">
        <v>0</v>
      </c>
      <c r="AF67">
        <v>0</v>
      </c>
      <c r="AG67">
        <v>1</v>
      </c>
      <c r="AH67">
        <v>1</v>
      </c>
      <c r="AI67">
        <v>1</v>
      </c>
      <c r="AJ67" t="s">
        <v>189</v>
      </c>
      <c r="AK67">
        <v>3</v>
      </c>
      <c r="AL67">
        <f t="shared" si="8"/>
        <v>8</v>
      </c>
      <c r="AM67">
        <v>0</v>
      </c>
      <c r="AN67">
        <v>0</v>
      </c>
      <c r="AO67">
        <f t="shared" si="9"/>
        <v>0</v>
      </c>
    </row>
    <row r="68" spans="1:42" x14ac:dyDescent="0.3">
      <c r="A68" t="s">
        <v>312</v>
      </c>
      <c r="B68" s="17">
        <v>45974</v>
      </c>
      <c r="C68" s="6" t="s">
        <v>236</v>
      </c>
      <c r="D68" s="6" t="s">
        <v>241</v>
      </c>
      <c r="E68">
        <v>1</v>
      </c>
      <c r="F68">
        <v>2</v>
      </c>
      <c r="G68" t="str">
        <f>A68 &amp; "-" &amp; C68 &amp; "-" &amp; D68 &amp; "-" &amp; E68 &amp; "-" &amp; F68</f>
        <v>ID_67-G-11-1-2</v>
      </c>
      <c r="H68" s="4">
        <v>0.55486111111111114</v>
      </c>
      <c r="I68" s="4">
        <v>0.5625</v>
      </c>
      <c r="J68" s="25">
        <f t="shared" si="5"/>
        <v>13.316666666666666</v>
      </c>
      <c r="K68" s="5">
        <v>23.7</v>
      </c>
      <c r="L68" s="5">
        <v>23.4</v>
      </c>
      <c r="M68" s="5">
        <f t="shared" si="6"/>
        <v>23.549999999999997</v>
      </c>
      <c r="N68">
        <v>23.5</v>
      </c>
      <c r="O68">
        <v>20</v>
      </c>
      <c r="P68">
        <v>21.5</v>
      </c>
      <c r="Q68">
        <f t="shared" si="7"/>
        <v>21.666666666666668</v>
      </c>
      <c r="R68" t="s">
        <v>32</v>
      </c>
      <c r="S68" t="s">
        <v>30</v>
      </c>
      <c r="T68">
        <v>2</v>
      </c>
      <c r="U68" t="s">
        <v>35</v>
      </c>
      <c r="V68" t="s">
        <v>68</v>
      </c>
      <c r="W68">
        <v>3</v>
      </c>
      <c r="X68" t="s">
        <v>28</v>
      </c>
      <c r="Y68" t="s">
        <v>28</v>
      </c>
      <c r="Z68">
        <v>0</v>
      </c>
      <c r="AA68">
        <v>0</v>
      </c>
      <c r="AB68">
        <v>1</v>
      </c>
      <c r="AC68">
        <v>1</v>
      </c>
      <c r="AD68">
        <v>0</v>
      </c>
      <c r="AE68">
        <v>0</v>
      </c>
      <c r="AF68">
        <v>0</v>
      </c>
      <c r="AG68">
        <v>1</v>
      </c>
      <c r="AH68">
        <v>1</v>
      </c>
      <c r="AI68">
        <v>1</v>
      </c>
      <c r="AJ68" t="s">
        <v>163</v>
      </c>
      <c r="AK68">
        <v>4</v>
      </c>
      <c r="AL68">
        <f t="shared" si="8"/>
        <v>9</v>
      </c>
      <c r="AM68">
        <v>0</v>
      </c>
      <c r="AN68">
        <v>0</v>
      </c>
      <c r="AO68">
        <f t="shared" si="9"/>
        <v>0</v>
      </c>
    </row>
    <row r="69" spans="1:42" x14ac:dyDescent="0.3">
      <c r="A69" t="s">
        <v>313</v>
      </c>
      <c r="B69" s="17">
        <v>45974</v>
      </c>
      <c r="C69" s="6" t="s">
        <v>236</v>
      </c>
      <c r="D69" s="6" t="s">
        <v>241</v>
      </c>
      <c r="E69">
        <v>1</v>
      </c>
      <c r="F69">
        <v>2</v>
      </c>
      <c r="G69" t="str">
        <f>A69 &amp; "-" &amp; C69 &amp; "-" &amp; D69 &amp; "-" &amp; E69 &amp; "-" &amp; F69</f>
        <v>ID_68-G-11-1-2</v>
      </c>
      <c r="H69" s="4">
        <v>0.55555555555555558</v>
      </c>
      <c r="I69" s="4">
        <v>0.5625</v>
      </c>
      <c r="J69" s="25">
        <f t="shared" si="5"/>
        <v>13.333333333333334</v>
      </c>
      <c r="K69" s="5">
        <v>23.7</v>
      </c>
      <c r="L69" s="5">
        <v>23.4</v>
      </c>
      <c r="M69" s="5">
        <f t="shared" si="6"/>
        <v>23.549999999999997</v>
      </c>
      <c r="N69">
        <v>23.5</v>
      </c>
      <c r="O69">
        <v>20</v>
      </c>
      <c r="P69">
        <v>21.5</v>
      </c>
      <c r="Q69">
        <f t="shared" si="7"/>
        <v>21.666666666666668</v>
      </c>
      <c r="R69" t="s">
        <v>32</v>
      </c>
      <c r="S69" t="s">
        <v>30</v>
      </c>
      <c r="T69">
        <v>2</v>
      </c>
      <c r="U69" t="s">
        <v>35</v>
      </c>
      <c r="V69" t="s">
        <v>68</v>
      </c>
      <c r="W69">
        <v>3</v>
      </c>
      <c r="X69" t="s">
        <v>28</v>
      </c>
      <c r="Y69" t="s">
        <v>28</v>
      </c>
      <c r="Z69">
        <v>0</v>
      </c>
      <c r="AA69">
        <v>0</v>
      </c>
      <c r="AB69">
        <v>1</v>
      </c>
      <c r="AC69">
        <v>0</v>
      </c>
      <c r="AD69">
        <v>0</v>
      </c>
      <c r="AE69">
        <v>0</v>
      </c>
      <c r="AF69">
        <v>0</v>
      </c>
      <c r="AG69">
        <v>1</v>
      </c>
      <c r="AH69">
        <v>0</v>
      </c>
      <c r="AI69">
        <v>0</v>
      </c>
      <c r="AJ69" t="s">
        <v>36</v>
      </c>
      <c r="AK69">
        <v>0</v>
      </c>
      <c r="AL69">
        <f t="shared" si="8"/>
        <v>2</v>
      </c>
      <c r="AM69">
        <v>0</v>
      </c>
      <c r="AN69">
        <v>0</v>
      </c>
      <c r="AO69">
        <f t="shared" si="9"/>
        <v>0</v>
      </c>
    </row>
    <row r="70" spans="1:42" x14ac:dyDescent="0.3">
      <c r="A70" t="s">
        <v>314</v>
      </c>
      <c r="B70" s="17">
        <v>45974</v>
      </c>
      <c r="C70" s="6" t="s">
        <v>236</v>
      </c>
      <c r="D70" s="6">
        <v>1</v>
      </c>
      <c r="E70">
        <v>2</v>
      </c>
      <c r="F70">
        <v>1</v>
      </c>
      <c r="G70" t="str">
        <f>A70 &amp; "-" &amp; C70 &amp; "-" &amp; D70 &amp; "-" &amp; E70 &amp; "-" &amp; F70</f>
        <v>ID_69-G-1-2-1</v>
      </c>
      <c r="H70" s="4">
        <v>0.47083333333333333</v>
      </c>
      <c r="I70" s="4">
        <v>0.4777777777777778</v>
      </c>
      <c r="J70" s="25">
        <f t="shared" si="5"/>
        <v>11.3</v>
      </c>
      <c r="K70" s="5">
        <v>20</v>
      </c>
      <c r="L70" s="5">
        <v>20.6</v>
      </c>
      <c r="M70" s="5">
        <f t="shared" si="6"/>
        <v>20.3</v>
      </c>
      <c r="N70">
        <v>23.5</v>
      </c>
      <c r="O70">
        <v>20</v>
      </c>
      <c r="P70">
        <v>21.5</v>
      </c>
      <c r="Q70">
        <f t="shared" si="7"/>
        <v>21.666666666666668</v>
      </c>
      <c r="R70" t="s">
        <v>32</v>
      </c>
      <c r="S70" t="s">
        <v>32</v>
      </c>
      <c r="T70">
        <v>2</v>
      </c>
      <c r="U70" t="s">
        <v>31</v>
      </c>
      <c r="V70" s="2" t="s">
        <v>245</v>
      </c>
      <c r="W70">
        <v>4</v>
      </c>
      <c r="X70" t="s">
        <v>28</v>
      </c>
      <c r="Y70" t="s">
        <v>28</v>
      </c>
      <c r="Z70">
        <v>0</v>
      </c>
      <c r="AA70">
        <v>0</v>
      </c>
      <c r="AB70">
        <v>1</v>
      </c>
      <c r="AC70">
        <v>0</v>
      </c>
      <c r="AD70">
        <v>0</v>
      </c>
      <c r="AE70">
        <v>0</v>
      </c>
      <c r="AF70">
        <v>0</v>
      </c>
      <c r="AG70">
        <v>1</v>
      </c>
      <c r="AH70">
        <v>0</v>
      </c>
      <c r="AI70">
        <v>0</v>
      </c>
      <c r="AJ70" t="s">
        <v>195</v>
      </c>
      <c r="AK70">
        <v>3</v>
      </c>
      <c r="AL70">
        <f t="shared" si="8"/>
        <v>5</v>
      </c>
      <c r="AM70">
        <v>0</v>
      </c>
      <c r="AN70">
        <v>0</v>
      </c>
      <c r="AO70">
        <f t="shared" si="9"/>
        <v>0</v>
      </c>
    </row>
    <row r="71" spans="1:42" x14ac:dyDescent="0.3">
      <c r="A71" t="s">
        <v>315</v>
      </c>
      <c r="B71" s="17">
        <v>45974</v>
      </c>
      <c r="C71" s="6" t="s">
        <v>236</v>
      </c>
      <c r="D71" s="6">
        <v>1</v>
      </c>
      <c r="E71">
        <v>2</v>
      </c>
      <c r="F71">
        <v>1</v>
      </c>
      <c r="G71" t="str">
        <f>A71 &amp; "-" &amp; C71 &amp; "-" &amp; D71 &amp; "-" &amp; E71 &amp; "-" &amp; F71</f>
        <v>ID_70-G-1-2-1</v>
      </c>
      <c r="H71" s="4">
        <v>0.47083333333333333</v>
      </c>
      <c r="I71" s="4">
        <v>0.4777777777777778</v>
      </c>
      <c r="J71" s="25">
        <f t="shared" si="5"/>
        <v>11.3</v>
      </c>
      <c r="K71" s="5">
        <v>20</v>
      </c>
      <c r="L71" s="5">
        <v>20.6</v>
      </c>
      <c r="M71" s="5">
        <f t="shared" si="6"/>
        <v>20.3</v>
      </c>
      <c r="N71">
        <v>23.5</v>
      </c>
      <c r="O71">
        <v>20</v>
      </c>
      <c r="P71">
        <v>21.5</v>
      </c>
      <c r="Q71">
        <f t="shared" si="7"/>
        <v>21.666666666666668</v>
      </c>
      <c r="R71" t="s">
        <v>50</v>
      </c>
      <c r="S71" t="s">
        <v>32</v>
      </c>
      <c r="T71">
        <v>1</v>
      </c>
      <c r="U71" t="s">
        <v>31</v>
      </c>
      <c r="V71" s="2" t="s">
        <v>245</v>
      </c>
      <c r="W71">
        <v>4</v>
      </c>
      <c r="X71" t="s">
        <v>28</v>
      </c>
      <c r="Y71" t="s">
        <v>28</v>
      </c>
      <c r="Z71">
        <v>1</v>
      </c>
      <c r="AA71">
        <v>0</v>
      </c>
      <c r="AB71">
        <v>1</v>
      </c>
      <c r="AC71">
        <v>0</v>
      </c>
      <c r="AD71">
        <v>0</v>
      </c>
      <c r="AE71">
        <v>1</v>
      </c>
      <c r="AF71">
        <v>0</v>
      </c>
      <c r="AG71">
        <v>1</v>
      </c>
      <c r="AH71">
        <v>1</v>
      </c>
      <c r="AI71">
        <v>0</v>
      </c>
      <c r="AJ71" t="s">
        <v>194</v>
      </c>
      <c r="AK71">
        <v>1</v>
      </c>
      <c r="AL71">
        <f t="shared" si="8"/>
        <v>6</v>
      </c>
      <c r="AM71">
        <v>0</v>
      </c>
      <c r="AN71">
        <v>0</v>
      </c>
      <c r="AO71">
        <f t="shared" si="9"/>
        <v>0</v>
      </c>
    </row>
    <row r="72" spans="1:42" x14ac:dyDescent="0.3">
      <c r="A72" t="s">
        <v>316</v>
      </c>
      <c r="B72" s="17">
        <v>45974</v>
      </c>
      <c r="C72" s="6" t="s">
        <v>236</v>
      </c>
      <c r="D72" s="6" t="s">
        <v>242</v>
      </c>
      <c r="E72">
        <v>1</v>
      </c>
      <c r="F72">
        <v>1</v>
      </c>
      <c r="G72" t="str">
        <f>A72 &amp; "-" &amp; C72 &amp; "-" &amp; D72 &amp; "-" &amp; E72 &amp; "-" &amp; F72</f>
        <v>ID_71-G-12-1-1</v>
      </c>
      <c r="H72" s="4">
        <v>0.58263888888888893</v>
      </c>
      <c r="I72" s="4">
        <v>0.58958333333333335</v>
      </c>
      <c r="J72" s="25">
        <f t="shared" si="5"/>
        <v>13.983333333333333</v>
      </c>
      <c r="K72" s="5">
        <v>22.6</v>
      </c>
      <c r="L72" s="5">
        <v>23</v>
      </c>
      <c r="M72" s="5">
        <f t="shared" si="6"/>
        <v>22.8</v>
      </c>
      <c r="N72">
        <v>23.5</v>
      </c>
      <c r="O72">
        <v>20</v>
      </c>
      <c r="P72">
        <v>21.5</v>
      </c>
      <c r="Q72">
        <f t="shared" si="7"/>
        <v>21.666666666666668</v>
      </c>
      <c r="R72" t="s">
        <v>30</v>
      </c>
      <c r="S72" t="s">
        <v>27</v>
      </c>
      <c r="T72">
        <v>3</v>
      </c>
      <c r="U72" t="s">
        <v>35</v>
      </c>
      <c r="V72" s="2" t="s">
        <v>245</v>
      </c>
      <c r="W72">
        <v>3</v>
      </c>
      <c r="X72" t="s">
        <v>28</v>
      </c>
      <c r="Y72" t="s">
        <v>28</v>
      </c>
      <c r="Z72">
        <v>1</v>
      </c>
      <c r="AA72">
        <v>0</v>
      </c>
      <c r="AB72">
        <v>1</v>
      </c>
      <c r="AC72">
        <v>1</v>
      </c>
      <c r="AD72">
        <v>0</v>
      </c>
      <c r="AE72">
        <v>0</v>
      </c>
      <c r="AF72">
        <v>0</v>
      </c>
      <c r="AG72">
        <v>0</v>
      </c>
      <c r="AH72">
        <v>0</v>
      </c>
      <c r="AI72">
        <v>0</v>
      </c>
      <c r="AJ72" t="s">
        <v>36</v>
      </c>
      <c r="AK72">
        <v>0</v>
      </c>
      <c r="AL72">
        <f t="shared" si="8"/>
        <v>3</v>
      </c>
      <c r="AM72">
        <v>3</v>
      </c>
      <c r="AN72">
        <v>0</v>
      </c>
      <c r="AO72">
        <f t="shared" si="9"/>
        <v>3</v>
      </c>
    </row>
    <row r="73" spans="1:42" x14ac:dyDescent="0.3">
      <c r="A73" t="s">
        <v>317</v>
      </c>
      <c r="B73" s="17">
        <v>45974</v>
      </c>
      <c r="C73" s="6" t="s">
        <v>236</v>
      </c>
      <c r="D73" s="6" t="s">
        <v>242</v>
      </c>
      <c r="E73">
        <v>1</v>
      </c>
      <c r="F73">
        <v>2</v>
      </c>
      <c r="G73" t="str">
        <f>A73 &amp; "-" &amp; C73 &amp; "-" &amp; D73 &amp; "-" &amp; E73 &amp; "-" &amp; F73</f>
        <v>ID_72-G-12-1-2</v>
      </c>
      <c r="H73" s="4">
        <v>0.57708333333333328</v>
      </c>
      <c r="I73" s="4">
        <v>0.58958333333333335</v>
      </c>
      <c r="J73" s="25">
        <f t="shared" si="5"/>
        <v>13.85</v>
      </c>
      <c r="K73" s="5">
        <v>22.6</v>
      </c>
      <c r="L73" s="5">
        <v>23</v>
      </c>
      <c r="M73" s="5">
        <f t="shared" si="6"/>
        <v>22.8</v>
      </c>
      <c r="N73">
        <v>23.5</v>
      </c>
      <c r="O73">
        <v>20</v>
      </c>
      <c r="P73">
        <v>21.5</v>
      </c>
      <c r="Q73">
        <f t="shared" si="7"/>
        <v>21.666666666666668</v>
      </c>
      <c r="R73" t="s">
        <v>30</v>
      </c>
      <c r="S73" t="s">
        <v>27</v>
      </c>
      <c r="T73">
        <v>3</v>
      </c>
      <c r="U73" t="s">
        <v>35</v>
      </c>
      <c r="V73" s="2" t="s">
        <v>245</v>
      </c>
      <c r="W73">
        <v>3</v>
      </c>
      <c r="X73" t="s">
        <v>28</v>
      </c>
      <c r="Y73" t="s">
        <v>28</v>
      </c>
      <c r="Z73">
        <v>1</v>
      </c>
      <c r="AA73">
        <v>0</v>
      </c>
      <c r="AB73">
        <v>1</v>
      </c>
      <c r="AC73">
        <v>1</v>
      </c>
      <c r="AD73">
        <v>0</v>
      </c>
      <c r="AE73">
        <v>0</v>
      </c>
      <c r="AF73">
        <v>0</v>
      </c>
      <c r="AG73">
        <v>1</v>
      </c>
      <c r="AH73">
        <v>1</v>
      </c>
      <c r="AI73">
        <v>0</v>
      </c>
      <c r="AJ73" t="s">
        <v>51</v>
      </c>
      <c r="AK73">
        <v>1</v>
      </c>
      <c r="AL73">
        <f t="shared" si="8"/>
        <v>6</v>
      </c>
      <c r="AM73">
        <v>0</v>
      </c>
      <c r="AN73">
        <v>0</v>
      </c>
      <c r="AO73">
        <f t="shared" si="9"/>
        <v>0</v>
      </c>
    </row>
    <row r="74" spans="1:42" x14ac:dyDescent="0.3">
      <c r="A74" t="s">
        <v>318</v>
      </c>
      <c r="B74" s="17">
        <v>45974</v>
      </c>
      <c r="C74" s="6" t="s">
        <v>236</v>
      </c>
      <c r="D74" s="6">
        <v>1</v>
      </c>
      <c r="E74">
        <v>3</v>
      </c>
      <c r="F74">
        <v>1</v>
      </c>
      <c r="G74" t="str">
        <f>A74 &amp; "-" &amp; C74 &amp; "-" &amp; D74 &amp; "-" &amp; E74 &amp; "-" &amp; F74</f>
        <v>ID_73-G-1-3-1</v>
      </c>
      <c r="H74" s="4">
        <v>0.48055555555555557</v>
      </c>
      <c r="I74" s="4">
        <v>0.48749999999999999</v>
      </c>
      <c r="J74" s="25">
        <f t="shared" si="5"/>
        <v>11.533333333333333</v>
      </c>
      <c r="K74" s="5">
        <v>20.6</v>
      </c>
      <c r="L74" s="5">
        <v>21</v>
      </c>
      <c r="M74" s="5">
        <f t="shared" si="6"/>
        <v>20.8</v>
      </c>
      <c r="N74">
        <v>23.5</v>
      </c>
      <c r="O74">
        <v>20</v>
      </c>
      <c r="P74">
        <v>21.5</v>
      </c>
      <c r="Q74">
        <f t="shared" si="7"/>
        <v>21.666666666666668</v>
      </c>
      <c r="R74" t="s">
        <v>32</v>
      </c>
      <c r="S74" t="s">
        <v>32</v>
      </c>
      <c r="T74">
        <v>2</v>
      </c>
      <c r="U74" t="s">
        <v>68</v>
      </c>
      <c r="V74" s="2" t="s">
        <v>245</v>
      </c>
      <c r="W74">
        <v>5</v>
      </c>
      <c r="X74" t="s">
        <v>28</v>
      </c>
      <c r="Y74" t="s">
        <v>28</v>
      </c>
      <c r="Z74">
        <v>0</v>
      </c>
      <c r="AA74">
        <v>0</v>
      </c>
      <c r="AB74">
        <v>1</v>
      </c>
      <c r="AC74">
        <v>0</v>
      </c>
      <c r="AD74">
        <v>0</v>
      </c>
      <c r="AE74">
        <v>0</v>
      </c>
      <c r="AF74">
        <v>0</v>
      </c>
      <c r="AG74">
        <v>1</v>
      </c>
      <c r="AH74">
        <v>1</v>
      </c>
      <c r="AI74">
        <v>0</v>
      </c>
      <c r="AJ74" t="s">
        <v>197</v>
      </c>
      <c r="AK74">
        <v>4</v>
      </c>
      <c r="AL74">
        <f t="shared" si="8"/>
        <v>7</v>
      </c>
      <c r="AM74">
        <v>0</v>
      </c>
      <c r="AN74">
        <v>0</v>
      </c>
      <c r="AO74">
        <f t="shared" si="9"/>
        <v>0</v>
      </c>
    </row>
    <row r="75" spans="1:42" x14ac:dyDescent="0.3">
      <c r="A75" t="s">
        <v>319</v>
      </c>
      <c r="B75" s="17">
        <v>45974</v>
      </c>
      <c r="C75" s="6" t="s">
        <v>236</v>
      </c>
      <c r="D75" s="6">
        <v>1</v>
      </c>
      <c r="E75">
        <v>3</v>
      </c>
      <c r="F75">
        <v>1</v>
      </c>
      <c r="G75" t="str">
        <f>A75 &amp; "-" &amp; C75 &amp; "-" &amp; D75 &amp; "-" &amp; E75 &amp; "-" &amp; F75</f>
        <v>ID_74-G-1-3-1</v>
      </c>
      <c r="H75" s="4">
        <v>0.48055555555555557</v>
      </c>
      <c r="I75" s="4">
        <v>0.48749999999999999</v>
      </c>
      <c r="J75" s="25">
        <f t="shared" si="5"/>
        <v>11.533333333333333</v>
      </c>
      <c r="K75" s="5">
        <v>20.6</v>
      </c>
      <c r="L75" s="5">
        <v>21</v>
      </c>
      <c r="M75" s="5">
        <f t="shared" si="6"/>
        <v>20.8</v>
      </c>
      <c r="N75">
        <v>23.5</v>
      </c>
      <c r="O75">
        <v>20</v>
      </c>
      <c r="P75">
        <v>21.5</v>
      </c>
      <c r="Q75">
        <f t="shared" si="7"/>
        <v>21.666666666666668</v>
      </c>
      <c r="R75" t="s">
        <v>50</v>
      </c>
      <c r="S75" t="s">
        <v>32</v>
      </c>
      <c r="T75">
        <v>1</v>
      </c>
      <c r="U75" t="s">
        <v>68</v>
      </c>
      <c r="V75" s="2" t="s">
        <v>245</v>
      </c>
      <c r="W75">
        <v>5</v>
      </c>
      <c r="X75" t="s">
        <v>28</v>
      </c>
      <c r="Y75" t="s">
        <v>28</v>
      </c>
      <c r="Z75">
        <v>0</v>
      </c>
      <c r="AA75">
        <v>0</v>
      </c>
      <c r="AB75">
        <v>1</v>
      </c>
      <c r="AC75">
        <v>0</v>
      </c>
      <c r="AD75">
        <v>0</v>
      </c>
      <c r="AE75">
        <v>0</v>
      </c>
      <c r="AF75">
        <v>0</v>
      </c>
      <c r="AG75">
        <v>1</v>
      </c>
      <c r="AH75">
        <v>1</v>
      </c>
      <c r="AI75">
        <v>0</v>
      </c>
      <c r="AJ75" t="s">
        <v>196</v>
      </c>
      <c r="AK75">
        <v>3</v>
      </c>
      <c r="AL75">
        <f t="shared" si="8"/>
        <v>6</v>
      </c>
      <c r="AM75">
        <v>0</v>
      </c>
      <c r="AN75">
        <v>0</v>
      </c>
      <c r="AO75">
        <f t="shared" si="9"/>
        <v>0</v>
      </c>
    </row>
    <row r="76" spans="1:42" x14ac:dyDescent="0.3">
      <c r="A76" t="s">
        <v>320</v>
      </c>
      <c r="B76" s="17">
        <v>45974</v>
      </c>
      <c r="C76" s="6" t="s">
        <v>236</v>
      </c>
      <c r="D76" s="6">
        <v>5</v>
      </c>
      <c r="E76">
        <v>1</v>
      </c>
      <c r="F76">
        <v>1</v>
      </c>
      <c r="G76" t="str">
        <f>A76 &amp; "-" &amp; C76 &amp; "-" &amp; D76 &amp; "-" &amp; E76 &amp; "-" &amp; F76</f>
        <v>ID_75-G-5-1-1</v>
      </c>
      <c r="H76" s="4">
        <v>0.56458333333333333</v>
      </c>
      <c r="I76" s="4">
        <v>0.57222222222222219</v>
      </c>
      <c r="J76" s="25">
        <f t="shared" si="5"/>
        <v>13.55</v>
      </c>
      <c r="K76" s="5">
        <v>23.4</v>
      </c>
      <c r="L76" s="5">
        <v>23.3</v>
      </c>
      <c r="M76" s="5">
        <f t="shared" si="6"/>
        <v>23.35</v>
      </c>
      <c r="N76">
        <v>23.5</v>
      </c>
      <c r="O76">
        <v>20</v>
      </c>
      <c r="P76">
        <v>21.5</v>
      </c>
      <c r="Q76">
        <f t="shared" si="7"/>
        <v>21.666666666666668</v>
      </c>
      <c r="R76" t="s">
        <v>27</v>
      </c>
      <c r="S76" t="s">
        <v>27</v>
      </c>
      <c r="T76">
        <v>4</v>
      </c>
      <c r="U76" t="s">
        <v>68</v>
      </c>
      <c r="V76" s="2" t="s">
        <v>245</v>
      </c>
      <c r="W76">
        <v>5</v>
      </c>
      <c r="X76" t="s">
        <v>28</v>
      </c>
      <c r="Y76" t="s">
        <v>28</v>
      </c>
      <c r="Z76">
        <v>1</v>
      </c>
      <c r="AA76">
        <v>0</v>
      </c>
      <c r="AB76">
        <v>1</v>
      </c>
      <c r="AC76">
        <v>1</v>
      </c>
      <c r="AD76">
        <v>0</v>
      </c>
      <c r="AE76">
        <v>0</v>
      </c>
      <c r="AF76">
        <v>0</v>
      </c>
      <c r="AG76">
        <v>1</v>
      </c>
      <c r="AH76">
        <v>0</v>
      </c>
      <c r="AI76">
        <v>1</v>
      </c>
      <c r="AJ76" t="s">
        <v>164</v>
      </c>
      <c r="AK76">
        <v>1</v>
      </c>
      <c r="AL76">
        <f t="shared" si="8"/>
        <v>6</v>
      </c>
      <c r="AM76">
        <v>0</v>
      </c>
      <c r="AN76">
        <v>0</v>
      </c>
      <c r="AO76">
        <f t="shared" si="9"/>
        <v>0</v>
      </c>
    </row>
    <row r="77" spans="1:42" x14ac:dyDescent="0.3">
      <c r="A77" t="s">
        <v>321</v>
      </c>
      <c r="B77" s="17">
        <v>45974</v>
      </c>
      <c r="C77" s="6" t="s">
        <v>236</v>
      </c>
      <c r="D77" s="6">
        <v>5</v>
      </c>
      <c r="E77">
        <v>1</v>
      </c>
      <c r="F77">
        <v>1</v>
      </c>
      <c r="G77" t="str">
        <f>A77 &amp; "-" &amp; C77 &amp; "-" &amp; D77 &amp; "-" &amp; E77 &amp; "-" &amp; F77</f>
        <v>ID_76-G-5-1-1</v>
      </c>
      <c r="H77" s="4">
        <v>0.56458333333333333</v>
      </c>
      <c r="I77" s="4">
        <v>0.57152777777777775</v>
      </c>
      <c r="J77" s="25">
        <f t="shared" si="5"/>
        <v>13.55</v>
      </c>
      <c r="K77" s="5">
        <v>23.4</v>
      </c>
      <c r="L77" s="5">
        <v>23.3</v>
      </c>
      <c r="M77" s="5">
        <f t="shared" si="6"/>
        <v>23.35</v>
      </c>
      <c r="N77">
        <v>23.5</v>
      </c>
      <c r="O77">
        <v>20</v>
      </c>
      <c r="P77">
        <v>21.5</v>
      </c>
      <c r="Q77">
        <f t="shared" si="7"/>
        <v>21.666666666666668</v>
      </c>
      <c r="R77" t="s">
        <v>30</v>
      </c>
      <c r="S77" t="s">
        <v>27</v>
      </c>
      <c r="T77">
        <v>3</v>
      </c>
      <c r="U77" t="s">
        <v>68</v>
      </c>
      <c r="V77" s="2" t="s">
        <v>245</v>
      </c>
      <c r="W77">
        <v>5</v>
      </c>
      <c r="X77" t="s">
        <v>28</v>
      </c>
      <c r="Y77" t="s">
        <v>28</v>
      </c>
      <c r="Z77">
        <v>1</v>
      </c>
      <c r="AA77">
        <v>1</v>
      </c>
      <c r="AB77">
        <v>1</v>
      </c>
      <c r="AC77">
        <v>1</v>
      </c>
      <c r="AD77">
        <v>0</v>
      </c>
      <c r="AE77">
        <v>0</v>
      </c>
      <c r="AF77">
        <v>0</v>
      </c>
      <c r="AG77">
        <v>1</v>
      </c>
      <c r="AH77">
        <v>1</v>
      </c>
      <c r="AI77">
        <v>0</v>
      </c>
      <c r="AJ77" t="s">
        <v>201</v>
      </c>
      <c r="AK77">
        <v>3</v>
      </c>
      <c r="AL77">
        <f t="shared" si="8"/>
        <v>9</v>
      </c>
      <c r="AM77">
        <v>0</v>
      </c>
      <c r="AN77">
        <v>0</v>
      </c>
      <c r="AO77">
        <f t="shared" si="9"/>
        <v>0</v>
      </c>
    </row>
    <row r="78" spans="1:42" x14ac:dyDescent="0.3">
      <c r="A78" t="s">
        <v>322</v>
      </c>
      <c r="B78" s="17">
        <v>45975</v>
      </c>
      <c r="C78" s="6" t="s">
        <v>236</v>
      </c>
      <c r="D78" s="6" t="s">
        <v>242</v>
      </c>
      <c r="E78">
        <v>1</v>
      </c>
      <c r="F78">
        <v>1</v>
      </c>
      <c r="G78" t="str">
        <f>A78 &amp; "-" &amp; C78 &amp; "-" &amp; D78 &amp; "-" &amp; E78 &amp; "-" &amp; F78</f>
        <v>ID_77-G-12-1-1</v>
      </c>
      <c r="H78" s="4">
        <v>0.48333333333333334</v>
      </c>
      <c r="I78" s="4">
        <v>0.4909722222222222</v>
      </c>
      <c r="J78" s="25">
        <f t="shared" si="5"/>
        <v>11.6</v>
      </c>
      <c r="K78" s="5">
        <v>23.6</v>
      </c>
      <c r="L78" s="5">
        <v>24.1</v>
      </c>
      <c r="M78" s="5">
        <f t="shared" si="6"/>
        <v>23.85</v>
      </c>
      <c r="N78">
        <v>20</v>
      </c>
      <c r="O78">
        <v>21.5</v>
      </c>
      <c r="P78">
        <v>26</v>
      </c>
      <c r="Q78">
        <f t="shared" si="7"/>
        <v>22.5</v>
      </c>
      <c r="R78" t="s">
        <v>27</v>
      </c>
      <c r="S78" t="s">
        <v>27</v>
      </c>
      <c r="T78">
        <v>4</v>
      </c>
      <c r="U78" t="s">
        <v>35</v>
      </c>
      <c r="V78" s="2" t="s">
        <v>245</v>
      </c>
      <c r="W78">
        <v>3</v>
      </c>
      <c r="X78" t="s">
        <v>28</v>
      </c>
      <c r="Y78" t="s">
        <v>28</v>
      </c>
      <c r="Z78">
        <v>0</v>
      </c>
      <c r="AA78">
        <v>0</v>
      </c>
      <c r="AB78">
        <v>1</v>
      </c>
      <c r="AC78">
        <v>1</v>
      </c>
      <c r="AD78">
        <v>0</v>
      </c>
      <c r="AE78">
        <v>0</v>
      </c>
      <c r="AF78">
        <v>0</v>
      </c>
      <c r="AG78">
        <v>0</v>
      </c>
      <c r="AH78">
        <v>1</v>
      </c>
      <c r="AI78">
        <v>1</v>
      </c>
      <c r="AJ78" t="s">
        <v>168</v>
      </c>
      <c r="AK78">
        <v>1</v>
      </c>
      <c r="AL78">
        <f t="shared" si="8"/>
        <v>5</v>
      </c>
      <c r="AM78">
        <v>1</v>
      </c>
      <c r="AN78">
        <v>0</v>
      </c>
      <c r="AO78">
        <f t="shared" si="9"/>
        <v>1</v>
      </c>
      <c r="AP78" t="s">
        <v>167</v>
      </c>
    </row>
    <row r="79" spans="1:42" x14ac:dyDescent="0.3">
      <c r="A79" t="s">
        <v>323</v>
      </c>
      <c r="B79" s="17">
        <v>45975</v>
      </c>
      <c r="C79" s="6" t="s">
        <v>236</v>
      </c>
      <c r="D79" s="6" t="s">
        <v>242</v>
      </c>
      <c r="E79">
        <v>1</v>
      </c>
      <c r="F79">
        <v>1</v>
      </c>
      <c r="G79" t="str">
        <f>A79 &amp; "-" &amp; C79 &amp; "-" &amp; D79 &amp; "-" &amp; E79 &amp; "-" &amp; F79</f>
        <v>ID_78-G-12-1-1</v>
      </c>
      <c r="H79" s="4">
        <v>0.48333333333333334</v>
      </c>
      <c r="I79" s="4">
        <v>0.4909722222222222</v>
      </c>
      <c r="J79" s="25">
        <f t="shared" si="5"/>
        <v>11.6</v>
      </c>
      <c r="K79" s="5">
        <v>23.6</v>
      </c>
      <c r="L79" s="5">
        <v>24.1</v>
      </c>
      <c r="M79" s="5">
        <f t="shared" si="6"/>
        <v>23.85</v>
      </c>
      <c r="N79">
        <v>20</v>
      </c>
      <c r="O79">
        <v>21.5</v>
      </c>
      <c r="P79">
        <v>26</v>
      </c>
      <c r="Q79">
        <f t="shared" si="7"/>
        <v>22.5</v>
      </c>
      <c r="R79" t="s">
        <v>27</v>
      </c>
      <c r="S79" t="s">
        <v>27</v>
      </c>
      <c r="T79">
        <v>4</v>
      </c>
      <c r="U79" t="s">
        <v>35</v>
      </c>
      <c r="V79" s="2" t="s">
        <v>245</v>
      </c>
      <c r="W79">
        <v>3</v>
      </c>
      <c r="X79" t="s">
        <v>28</v>
      </c>
      <c r="Y79" t="s">
        <v>28</v>
      </c>
      <c r="Z79">
        <v>0</v>
      </c>
      <c r="AA79">
        <v>0</v>
      </c>
      <c r="AB79">
        <v>0</v>
      </c>
      <c r="AC79">
        <v>0</v>
      </c>
      <c r="AD79">
        <v>0</v>
      </c>
      <c r="AE79">
        <v>0</v>
      </c>
      <c r="AF79">
        <v>0</v>
      </c>
      <c r="AG79">
        <v>0</v>
      </c>
      <c r="AH79">
        <v>1</v>
      </c>
      <c r="AI79">
        <v>0</v>
      </c>
      <c r="AJ79" t="s">
        <v>36</v>
      </c>
      <c r="AK79">
        <v>0</v>
      </c>
      <c r="AL79">
        <f t="shared" si="8"/>
        <v>1</v>
      </c>
      <c r="AM79">
        <v>0</v>
      </c>
      <c r="AN79">
        <v>0</v>
      </c>
      <c r="AO79">
        <f t="shared" si="9"/>
        <v>0</v>
      </c>
    </row>
    <row r="80" spans="1:42" x14ac:dyDescent="0.3">
      <c r="A80" t="s">
        <v>324</v>
      </c>
      <c r="B80" s="17">
        <v>45975</v>
      </c>
      <c r="C80" s="6" t="s">
        <v>236</v>
      </c>
      <c r="D80" s="6" t="s">
        <v>242</v>
      </c>
      <c r="E80">
        <v>1</v>
      </c>
      <c r="F80">
        <v>2</v>
      </c>
      <c r="G80" t="str">
        <f>A80 &amp; "-" &amp; C80 &amp; "-" &amp; D80 &amp; "-" &amp; E80 &amp; "-" &amp; F80</f>
        <v>ID_79-G-12-1-2</v>
      </c>
      <c r="H80" s="4">
        <v>0.47222222222222221</v>
      </c>
      <c r="I80" s="4">
        <v>0.47986111111111113</v>
      </c>
      <c r="J80" s="25">
        <f t="shared" si="5"/>
        <v>11.333333333333334</v>
      </c>
      <c r="K80" s="5">
        <v>23.5</v>
      </c>
      <c r="L80" s="5">
        <v>23.6</v>
      </c>
      <c r="M80" s="5">
        <f t="shared" si="6"/>
        <v>23.55</v>
      </c>
      <c r="N80">
        <v>20</v>
      </c>
      <c r="O80">
        <v>21.5</v>
      </c>
      <c r="P80">
        <v>26</v>
      </c>
      <c r="Q80">
        <f t="shared" si="7"/>
        <v>22.5</v>
      </c>
      <c r="R80" t="s">
        <v>25</v>
      </c>
      <c r="S80" t="s">
        <v>27</v>
      </c>
      <c r="T80">
        <v>5</v>
      </c>
      <c r="U80" t="s">
        <v>35</v>
      </c>
      <c r="V80" s="2" t="s">
        <v>245</v>
      </c>
      <c r="W80">
        <v>3</v>
      </c>
      <c r="X80" t="s">
        <v>28</v>
      </c>
      <c r="Y80" t="s">
        <v>28</v>
      </c>
      <c r="Z80">
        <v>0</v>
      </c>
      <c r="AA80">
        <v>0</v>
      </c>
      <c r="AB80">
        <v>1</v>
      </c>
      <c r="AC80">
        <v>1</v>
      </c>
      <c r="AD80">
        <v>0</v>
      </c>
      <c r="AE80">
        <v>0</v>
      </c>
      <c r="AF80">
        <v>0</v>
      </c>
      <c r="AG80">
        <v>1</v>
      </c>
      <c r="AH80">
        <v>0</v>
      </c>
      <c r="AI80">
        <v>1</v>
      </c>
      <c r="AJ80" t="s">
        <v>166</v>
      </c>
      <c r="AK80">
        <v>1</v>
      </c>
      <c r="AL80">
        <f t="shared" si="8"/>
        <v>5</v>
      </c>
      <c r="AM80">
        <v>1</v>
      </c>
      <c r="AN80">
        <v>0</v>
      </c>
      <c r="AO80">
        <f t="shared" si="9"/>
        <v>1</v>
      </c>
    </row>
    <row r="81" spans="1:41" x14ac:dyDescent="0.3">
      <c r="A81" t="s">
        <v>325</v>
      </c>
      <c r="B81" s="17">
        <v>45975</v>
      </c>
      <c r="C81" s="6" t="s">
        <v>236</v>
      </c>
      <c r="D81" s="6" t="s">
        <v>242</v>
      </c>
      <c r="E81">
        <v>1</v>
      </c>
      <c r="F81">
        <v>2</v>
      </c>
      <c r="G81" t="str">
        <f>A81 &amp; "-" &amp; C81 &amp; "-" &amp; D81 &amp; "-" &amp; E81 &amp; "-" &amp; F81</f>
        <v>ID_80-G-12-1-2</v>
      </c>
      <c r="H81" s="4">
        <v>0.47222222222222221</v>
      </c>
      <c r="I81" s="4">
        <v>0.47916666666666669</v>
      </c>
      <c r="J81" s="25">
        <f t="shared" si="5"/>
        <v>11.333333333333334</v>
      </c>
      <c r="K81" s="5">
        <v>23.5</v>
      </c>
      <c r="L81" s="5">
        <v>23.6</v>
      </c>
      <c r="M81" s="5">
        <f t="shared" si="6"/>
        <v>23.55</v>
      </c>
      <c r="N81">
        <v>20</v>
      </c>
      <c r="O81">
        <v>21.5</v>
      </c>
      <c r="P81">
        <v>26</v>
      </c>
      <c r="Q81">
        <f t="shared" si="7"/>
        <v>22.5</v>
      </c>
      <c r="R81" t="s">
        <v>25</v>
      </c>
      <c r="S81" t="s">
        <v>27</v>
      </c>
      <c r="T81">
        <v>5</v>
      </c>
      <c r="U81" t="s">
        <v>35</v>
      </c>
      <c r="V81" s="2" t="s">
        <v>245</v>
      </c>
      <c r="W81">
        <v>3</v>
      </c>
      <c r="X81" t="s">
        <v>28</v>
      </c>
      <c r="Y81" t="s">
        <v>28</v>
      </c>
      <c r="Z81">
        <v>0</v>
      </c>
      <c r="AA81">
        <v>0</v>
      </c>
      <c r="AB81">
        <v>1</v>
      </c>
      <c r="AC81">
        <v>1</v>
      </c>
      <c r="AD81">
        <v>0</v>
      </c>
      <c r="AE81">
        <v>0</v>
      </c>
      <c r="AF81">
        <v>0</v>
      </c>
      <c r="AG81">
        <v>1</v>
      </c>
      <c r="AH81">
        <v>1</v>
      </c>
      <c r="AI81">
        <v>0</v>
      </c>
      <c r="AJ81" t="s">
        <v>36</v>
      </c>
      <c r="AK81">
        <v>0</v>
      </c>
      <c r="AL81">
        <f t="shared" si="8"/>
        <v>4</v>
      </c>
      <c r="AM81">
        <v>0</v>
      </c>
      <c r="AN81">
        <v>0</v>
      </c>
      <c r="AO81">
        <f t="shared" si="9"/>
        <v>0</v>
      </c>
    </row>
    <row r="82" spans="1:41" x14ac:dyDescent="0.3">
      <c r="A82" t="s">
        <v>326</v>
      </c>
      <c r="B82" s="17">
        <v>45979</v>
      </c>
      <c r="C82" s="6" t="s">
        <v>237</v>
      </c>
      <c r="D82" s="6">
        <v>1</v>
      </c>
      <c r="E82">
        <v>1</v>
      </c>
      <c r="F82">
        <v>1</v>
      </c>
      <c r="G82" t="str">
        <f>A82 &amp; "-" &amp; C82 &amp; "-" &amp; D82 &amp; "-" &amp; E82 &amp; "-" &amp; F82</f>
        <v>ID_81-L-1-1-1</v>
      </c>
      <c r="H82" s="4">
        <v>0.48194444444444445</v>
      </c>
      <c r="I82" s="4">
        <v>0.48888888888888887</v>
      </c>
      <c r="J82" s="25">
        <f t="shared" si="5"/>
        <v>11.566666666666666</v>
      </c>
      <c r="K82" s="5">
        <v>19.899999999999999</v>
      </c>
      <c r="L82" s="5">
        <v>20.6</v>
      </c>
      <c r="M82" s="5">
        <f t="shared" si="6"/>
        <v>20.25</v>
      </c>
      <c r="N82">
        <v>31.8</v>
      </c>
      <c r="O82">
        <v>25.8</v>
      </c>
      <c r="P82">
        <v>18.3</v>
      </c>
      <c r="Q82">
        <f t="shared" si="7"/>
        <v>25.3</v>
      </c>
      <c r="R82" t="s">
        <v>50</v>
      </c>
      <c r="S82" t="s">
        <v>50</v>
      </c>
      <c r="T82">
        <v>1</v>
      </c>
      <c r="U82" t="s">
        <v>35</v>
      </c>
      <c r="V82" s="2" t="s">
        <v>245</v>
      </c>
      <c r="W82">
        <v>3</v>
      </c>
      <c r="X82" t="s">
        <v>28</v>
      </c>
      <c r="Y82" t="s">
        <v>28</v>
      </c>
      <c r="Z82">
        <v>0</v>
      </c>
      <c r="AA82">
        <v>0</v>
      </c>
      <c r="AB82">
        <v>1</v>
      </c>
      <c r="AC82">
        <v>1</v>
      </c>
      <c r="AD82">
        <v>0</v>
      </c>
      <c r="AE82">
        <v>0</v>
      </c>
      <c r="AF82">
        <v>0</v>
      </c>
      <c r="AG82">
        <v>1</v>
      </c>
      <c r="AH82">
        <v>1</v>
      </c>
      <c r="AI82">
        <v>0</v>
      </c>
      <c r="AJ82" t="s">
        <v>204</v>
      </c>
      <c r="AK82">
        <v>2</v>
      </c>
      <c r="AL82">
        <f t="shared" si="8"/>
        <v>6</v>
      </c>
      <c r="AM82">
        <v>0</v>
      </c>
      <c r="AN82">
        <v>0</v>
      </c>
      <c r="AO82">
        <f t="shared" si="9"/>
        <v>0</v>
      </c>
    </row>
    <row r="83" spans="1:41" x14ac:dyDescent="0.3">
      <c r="A83" t="s">
        <v>327</v>
      </c>
      <c r="B83" s="17">
        <v>45979</v>
      </c>
      <c r="C83" s="6" t="s">
        <v>237</v>
      </c>
      <c r="D83" s="6">
        <v>1</v>
      </c>
      <c r="E83">
        <v>1</v>
      </c>
      <c r="F83">
        <v>1</v>
      </c>
      <c r="G83" t="str">
        <f>A83 &amp; "-" &amp; C83 &amp; "-" &amp; D83 &amp; "-" &amp; E83 &amp; "-" &amp; F83</f>
        <v>ID_82-L-1-1-1</v>
      </c>
      <c r="H83" s="4">
        <v>0.48194444444444445</v>
      </c>
      <c r="I83" s="4">
        <v>0.48888888888888887</v>
      </c>
      <c r="J83" s="25">
        <f t="shared" si="5"/>
        <v>11.566666666666666</v>
      </c>
      <c r="K83" s="5">
        <v>19.899999999999999</v>
      </c>
      <c r="L83" s="5">
        <v>20.6</v>
      </c>
      <c r="M83" s="5">
        <f t="shared" si="6"/>
        <v>20.25</v>
      </c>
      <c r="N83">
        <v>31.8</v>
      </c>
      <c r="O83">
        <v>25.8</v>
      </c>
      <c r="P83">
        <v>18.3</v>
      </c>
      <c r="Q83">
        <f t="shared" si="7"/>
        <v>25.3</v>
      </c>
      <c r="R83" t="s">
        <v>50</v>
      </c>
      <c r="S83" t="s">
        <v>50</v>
      </c>
      <c r="T83">
        <v>1</v>
      </c>
      <c r="U83" t="s">
        <v>31</v>
      </c>
      <c r="V83" s="2" t="s">
        <v>26</v>
      </c>
      <c r="W83">
        <v>4</v>
      </c>
      <c r="X83" t="s">
        <v>28</v>
      </c>
      <c r="Y83" t="s">
        <v>28</v>
      </c>
      <c r="Z83">
        <v>1</v>
      </c>
      <c r="AA83">
        <v>0</v>
      </c>
      <c r="AB83">
        <v>1</v>
      </c>
      <c r="AC83">
        <v>1</v>
      </c>
      <c r="AD83">
        <v>0</v>
      </c>
      <c r="AE83">
        <v>1</v>
      </c>
      <c r="AF83">
        <v>0</v>
      </c>
      <c r="AG83">
        <v>1</v>
      </c>
      <c r="AH83">
        <v>0</v>
      </c>
      <c r="AI83">
        <v>1</v>
      </c>
      <c r="AJ83" t="s">
        <v>205</v>
      </c>
      <c r="AK83">
        <v>2</v>
      </c>
      <c r="AL83">
        <f t="shared" si="8"/>
        <v>8</v>
      </c>
      <c r="AM83">
        <v>0</v>
      </c>
      <c r="AN83">
        <v>0</v>
      </c>
      <c r="AO83">
        <f t="shared" si="9"/>
        <v>0</v>
      </c>
    </row>
    <row r="84" spans="1:41" x14ac:dyDescent="0.3">
      <c r="A84" t="s">
        <v>328</v>
      </c>
      <c r="B84" s="17">
        <v>45979</v>
      </c>
      <c r="C84" s="6" t="s">
        <v>237</v>
      </c>
      <c r="D84" s="6">
        <v>1</v>
      </c>
      <c r="E84">
        <v>1</v>
      </c>
      <c r="F84">
        <v>2</v>
      </c>
      <c r="G84" t="str">
        <f>A84 &amp; "-" &amp; C84 &amp; "-" &amp; D84 &amp; "-" &amp; E84 &amp; "-" &amp; F84</f>
        <v>ID_83-L-1-1-2</v>
      </c>
      <c r="H84" s="4">
        <v>0.4909722222222222</v>
      </c>
      <c r="I84" s="4">
        <v>0.49791666666666667</v>
      </c>
      <c r="J84" s="25">
        <f t="shared" si="5"/>
        <v>11.783333333333333</v>
      </c>
      <c r="K84" s="5">
        <v>20.6</v>
      </c>
      <c r="L84" s="5">
        <v>20.9</v>
      </c>
      <c r="M84" s="5">
        <f t="shared" si="6"/>
        <v>20.75</v>
      </c>
      <c r="N84">
        <v>31.8</v>
      </c>
      <c r="O84">
        <v>25.8</v>
      </c>
      <c r="P84">
        <v>18.3</v>
      </c>
      <c r="Q84">
        <f t="shared" si="7"/>
        <v>25.3</v>
      </c>
      <c r="R84" t="s">
        <v>50</v>
      </c>
      <c r="S84" t="s">
        <v>50</v>
      </c>
      <c r="T84">
        <v>1</v>
      </c>
      <c r="U84" t="s">
        <v>26</v>
      </c>
      <c r="V84" t="s">
        <v>31</v>
      </c>
      <c r="W84">
        <v>2</v>
      </c>
      <c r="X84" t="s">
        <v>28</v>
      </c>
      <c r="Y84" t="s">
        <v>28</v>
      </c>
      <c r="Z84">
        <v>1</v>
      </c>
      <c r="AA84">
        <v>1</v>
      </c>
      <c r="AB84">
        <v>1</v>
      </c>
      <c r="AC84">
        <v>1</v>
      </c>
      <c r="AD84">
        <v>0</v>
      </c>
      <c r="AE84">
        <v>0</v>
      </c>
      <c r="AF84">
        <v>0</v>
      </c>
      <c r="AG84">
        <v>1</v>
      </c>
      <c r="AH84">
        <v>0</v>
      </c>
      <c r="AI84">
        <v>1</v>
      </c>
      <c r="AJ84" t="s">
        <v>209</v>
      </c>
      <c r="AK84">
        <v>2</v>
      </c>
      <c r="AL84">
        <f t="shared" si="8"/>
        <v>8</v>
      </c>
      <c r="AM84">
        <v>0</v>
      </c>
      <c r="AN84">
        <v>0</v>
      </c>
      <c r="AO84">
        <f t="shared" si="9"/>
        <v>0</v>
      </c>
    </row>
    <row r="85" spans="1:41" x14ac:dyDescent="0.3">
      <c r="A85" t="s">
        <v>329</v>
      </c>
      <c r="B85" s="17">
        <v>45979</v>
      </c>
      <c r="C85" s="6" t="s">
        <v>237</v>
      </c>
      <c r="D85" s="6">
        <v>1</v>
      </c>
      <c r="E85">
        <v>1</v>
      </c>
      <c r="F85">
        <v>2</v>
      </c>
      <c r="G85" t="str">
        <f>A85 &amp; "-" &amp; C85 &amp; "-" &amp; D85 &amp; "-" &amp; E85 &amp; "-" &amp; F85</f>
        <v>ID_84-L-1-1-2</v>
      </c>
      <c r="H85" s="4">
        <v>0.4909722222222222</v>
      </c>
      <c r="I85" s="4">
        <v>0.49791666666666667</v>
      </c>
      <c r="J85" s="25">
        <f t="shared" si="5"/>
        <v>11.783333333333333</v>
      </c>
      <c r="K85" s="5">
        <v>20.6</v>
      </c>
      <c r="L85" s="5">
        <v>20.9</v>
      </c>
      <c r="M85" s="5">
        <f t="shared" si="6"/>
        <v>20.75</v>
      </c>
      <c r="N85">
        <v>31.8</v>
      </c>
      <c r="O85">
        <v>25.8</v>
      </c>
      <c r="P85">
        <v>18.3</v>
      </c>
      <c r="Q85">
        <f t="shared" si="7"/>
        <v>25.3</v>
      </c>
      <c r="R85" t="s">
        <v>50</v>
      </c>
      <c r="S85" t="s">
        <v>50</v>
      </c>
      <c r="T85">
        <v>1</v>
      </c>
      <c r="U85" t="s">
        <v>26</v>
      </c>
      <c r="V85" s="2" t="s">
        <v>245</v>
      </c>
      <c r="W85">
        <v>2</v>
      </c>
      <c r="X85" t="s">
        <v>28</v>
      </c>
      <c r="Y85" t="s">
        <v>28</v>
      </c>
      <c r="Z85">
        <v>1</v>
      </c>
      <c r="AA85">
        <v>1</v>
      </c>
      <c r="AB85">
        <v>1</v>
      </c>
      <c r="AC85">
        <v>1</v>
      </c>
      <c r="AD85">
        <v>0</v>
      </c>
      <c r="AE85">
        <v>1</v>
      </c>
      <c r="AF85">
        <v>1</v>
      </c>
      <c r="AG85">
        <v>1</v>
      </c>
      <c r="AH85">
        <v>1</v>
      </c>
      <c r="AI85">
        <v>0</v>
      </c>
      <c r="AJ85" t="s">
        <v>207</v>
      </c>
      <c r="AK85">
        <v>5</v>
      </c>
      <c r="AL85">
        <f t="shared" si="8"/>
        <v>13</v>
      </c>
      <c r="AM85">
        <v>0</v>
      </c>
      <c r="AN85">
        <v>0</v>
      </c>
      <c r="AO85">
        <f t="shared" si="9"/>
        <v>0</v>
      </c>
    </row>
    <row r="86" spans="1:41" x14ac:dyDescent="0.3">
      <c r="A86" t="s">
        <v>330</v>
      </c>
      <c r="B86" s="17">
        <v>45979</v>
      </c>
      <c r="C86" s="6" t="s">
        <v>237</v>
      </c>
      <c r="D86" s="6">
        <v>2</v>
      </c>
      <c r="E86">
        <v>1</v>
      </c>
      <c r="F86">
        <v>1</v>
      </c>
      <c r="G86" t="str">
        <f>A86 &amp; "-" &amp; C86 &amp; "-" &amp; D86 &amp; "-" &amp; E86 &amp; "-" &amp; F86</f>
        <v>ID_85-L-2-1-1</v>
      </c>
      <c r="H86" s="4">
        <v>0.45</v>
      </c>
      <c r="I86" s="4">
        <v>0.45694444444444443</v>
      </c>
      <c r="J86" s="25">
        <f t="shared" si="5"/>
        <v>10.8</v>
      </c>
      <c r="K86" s="5">
        <v>18.3</v>
      </c>
      <c r="L86" s="5">
        <v>19.2</v>
      </c>
      <c r="M86" s="5">
        <f t="shared" si="6"/>
        <v>18.75</v>
      </c>
      <c r="N86">
        <v>31.8</v>
      </c>
      <c r="O86">
        <v>25.8</v>
      </c>
      <c r="P86">
        <v>18.3</v>
      </c>
      <c r="Q86">
        <f t="shared" si="7"/>
        <v>25.3</v>
      </c>
      <c r="R86" t="s">
        <v>50</v>
      </c>
      <c r="S86" t="s">
        <v>50</v>
      </c>
      <c r="T86">
        <v>1</v>
      </c>
      <c r="U86" t="s">
        <v>26</v>
      </c>
      <c r="V86" s="2" t="s">
        <v>245</v>
      </c>
      <c r="W86">
        <v>2</v>
      </c>
      <c r="X86" t="s">
        <v>28</v>
      </c>
      <c r="Y86" t="s">
        <v>28</v>
      </c>
      <c r="Z86">
        <v>1</v>
      </c>
      <c r="AA86">
        <v>1</v>
      </c>
      <c r="AB86">
        <v>1</v>
      </c>
      <c r="AC86">
        <v>1</v>
      </c>
      <c r="AD86">
        <v>0</v>
      </c>
      <c r="AE86">
        <v>1</v>
      </c>
      <c r="AF86">
        <v>0</v>
      </c>
      <c r="AG86">
        <v>1</v>
      </c>
      <c r="AH86">
        <v>1</v>
      </c>
      <c r="AI86">
        <v>1</v>
      </c>
      <c r="AJ86" t="s">
        <v>51</v>
      </c>
      <c r="AK86">
        <v>1</v>
      </c>
      <c r="AL86">
        <f t="shared" si="8"/>
        <v>9</v>
      </c>
      <c r="AM86">
        <v>0</v>
      </c>
      <c r="AN86">
        <v>0</v>
      </c>
      <c r="AO86">
        <f t="shared" si="9"/>
        <v>0</v>
      </c>
    </row>
    <row r="87" spans="1:41" x14ac:dyDescent="0.3">
      <c r="A87" t="s">
        <v>331</v>
      </c>
      <c r="B87" s="17">
        <v>45979</v>
      </c>
      <c r="C87" s="6" t="s">
        <v>237</v>
      </c>
      <c r="D87" s="6">
        <v>2</v>
      </c>
      <c r="E87">
        <v>1</v>
      </c>
      <c r="F87">
        <v>1</v>
      </c>
      <c r="G87" t="str">
        <f>A87 &amp; "-" &amp; C87 &amp; "-" &amp; D87 &amp; "-" &amp; E87 &amp; "-" &amp; F87</f>
        <v>ID_86-L-2-1-1</v>
      </c>
      <c r="H87" s="4">
        <v>0.50694444444444442</v>
      </c>
      <c r="I87" s="4">
        <v>0.51388888888888884</v>
      </c>
      <c r="J87" s="25">
        <f t="shared" si="5"/>
        <v>12.166666666666666</v>
      </c>
      <c r="K87" s="5">
        <v>21.8</v>
      </c>
      <c r="L87" s="5">
        <v>21.2</v>
      </c>
      <c r="M87" s="5">
        <f t="shared" si="6"/>
        <v>21.5</v>
      </c>
      <c r="N87">
        <v>31.8</v>
      </c>
      <c r="O87">
        <v>25.8</v>
      </c>
      <c r="P87">
        <v>18.3</v>
      </c>
      <c r="Q87">
        <f t="shared" si="7"/>
        <v>25.3</v>
      </c>
      <c r="R87" t="s">
        <v>50</v>
      </c>
      <c r="S87" t="s">
        <v>56</v>
      </c>
      <c r="T87">
        <v>1</v>
      </c>
      <c r="U87" t="s">
        <v>35</v>
      </c>
      <c r="V87" t="s">
        <v>31</v>
      </c>
      <c r="W87">
        <v>3</v>
      </c>
      <c r="X87" t="s">
        <v>28</v>
      </c>
      <c r="Y87" t="s">
        <v>28</v>
      </c>
      <c r="Z87">
        <v>1</v>
      </c>
      <c r="AA87">
        <v>0</v>
      </c>
      <c r="AB87">
        <v>1</v>
      </c>
      <c r="AC87">
        <v>0</v>
      </c>
      <c r="AD87">
        <v>0</v>
      </c>
      <c r="AE87">
        <v>0</v>
      </c>
      <c r="AF87">
        <v>1</v>
      </c>
      <c r="AG87">
        <v>1</v>
      </c>
      <c r="AH87">
        <v>1</v>
      </c>
      <c r="AI87">
        <v>0</v>
      </c>
      <c r="AJ87" t="s">
        <v>191</v>
      </c>
      <c r="AK87">
        <v>2</v>
      </c>
      <c r="AL87">
        <f t="shared" si="8"/>
        <v>7</v>
      </c>
      <c r="AM87">
        <v>0</v>
      </c>
      <c r="AN87">
        <v>0</v>
      </c>
      <c r="AO87">
        <f t="shared" si="9"/>
        <v>0</v>
      </c>
    </row>
    <row r="88" spans="1:41" x14ac:dyDescent="0.3">
      <c r="A88" t="s">
        <v>332</v>
      </c>
      <c r="B88" s="17">
        <v>45979</v>
      </c>
      <c r="C88" s="6" t="s">
        <v>237</v>
      </c>
      <c r="D88" s="6">
        <v>2</v>
      </c>
      <c r="E88">
        <v>1</v>
      </c>
      <c r="F88">
        <v>1</v>
      </c>
      <c r="G88" t="str">
        <f>A88 &amp; "-" &amp; C88 &amp; "-" &amp; D88 &amp; "-" &amp; E88 &amp; "-" &amp; F88</f>
        <v>ID_87-L-2-1-1</v>
      </c>
      <c r="H88" s="4">
        <v>0.50694444444444442</v>
      </c>
      <c r="I88" s="4">
        <v>0.51388888888888884</v>
      </c>
      <c r="J88" s="25">
        <f t="shared" si="5"/>
        <v>12.166666666666666</v>
      </c>
      <c r="K88" s="5">
        <v>21.8</v>
      </c>
      <c r="L88" s="5">
        <v>21.2</v>
      </c>
      <c r="M88" s="5">
        <f t="shared" si="6"/>
        <v>21.5</v>
      </c>
      <c r="N88">
        <v>31.8</v>
      </c>
      <c r="O88">
        <v>25.8</v>
      </c>
      <c r="P88">
        <v>18.3</v>
      </c>
      <c r="Q88">
        <f t="shared" si="7"/>
        <v>25.3</v>
      </c>
      <c r="R88" t="s">
        <v>50</v>
      </c>
      <c r="S88" t="s">
        <v>50</v>
      </c>
      <c r="T88">
        <v>1</v>
      </c>
      <c r="U88" t="s">
        <v>35</v>
      </c>
      <c r="V88" s="2" t="s">
        <v>245</v>
      </c>
      <c r="W88">
        <v>3</v>
      </c>
      <c r="X88" t="s">
        <v>28</v>
      </c>
      <c r="Y88" t="s">
        <v>28</v>
      </c>
      <c r="Z88">
        <v>0</v>
      </c>
      <c r="AA88">
        <v>0</v>
      </c>
      <c r="AB88">
        <v>1</v>
      </c>
      <c r="AC88">
        <v>0</v>
      </c>
      <c r="AD88">
        <v>0</v>
      </c>
      <c r="AE88">
        <v>1</v>
      </c>
      <c r="AF88">
        <v>0</v>
      </c>
      <c r="AG88">
        <v>0</v>
      </c>
      <c r="AH88">
        <v>1</v>
      </c>
      <c r="AI88">
        <v>0</v>
      </c>
      <c r="AJ88" t="s">
        <v>36</v>
      </c>
      <c r="AK88">
        <v>0</v>
      </c>
      <c r="AL88">
        <f t="shared" si="8"/>
        <v>3</v>
      </c>
      <c r="AM88">
        <v>0</v>
      </c>
      <c r="AN88">
        <v>0</v>
      </c>
      <c r="AO88">
        <f t="shared" si="9"/>
        <v>0</v>
      </c>
    </row>
    <row r="89" spans="1:41" x14ac:dyDescent="0.3">
      <c r="A89" t="s">
        <v>333</v>
      </c>
      <c r="B89" s="17">
        <v>45979</v>
      </c>
      <c r="C89" s="6" t="s">
        <v>237</v>
      </c>
      <c r="D89" s="6">
        <v>2</v>
      </c>
      <c r="E89">
        <v>1</v>
      </c>
      <c r="F89">
        <v>2</v>
      </c>
      <c r="G89" t="str">
        <f>A89 &amp; "-" &amp; C89 &amp; "-" &amp; D89 &amp; "-" &amp; E89 &amp; "-" &amp; F89</f>
        <v>ID_88-L-2-1-2</v>
      </c>
      <c r="H89" s="4">
        <v>0.51597222222222228</v>
      </c>
      <c r="I89" s="4">
        <v>0.5229166666666667</v>
      </c>
      <c r="J89" s="25">
        <f t="shared" si="5"/>
        <v>12.383333333333333</v>
      </c>
      <c r="K89" s="5">
        <v>21.2</v>
      </c>
      <c r="L89" s="5">
        <v>22.7</v>
      </c>
      <c r="M89" s="5">
        <f t="shared" si="6"/>
        <v>21.95</v>
      </c>
      <c r="N89">
        <v>31.8</v>
      </c>
      <c r="O89">
        <v>25.8</v>
      </c>
      <c r="P89">
        <v>18.3</v>
      </c>
      <c r="Q89">
        <f t="shared" si="7"/>
        <v>25.3</v>
      </c>
      <c r="R89" t="s">
        <v>56</v>
      </c>
      <c r="S89" t="s">
        <v>56</v>
      </c>
      <c r="T89">
        <v>0</v>
      </c>
      <c r="U89" t="s">
        <v>31</v>
      </c>
      <c r="V89" s="2" t="s">
        <v>245</v>
      </c>
      <c r="W89">
        <v>4</v>
      </c>
      <c r="X89" t="s">
        <v>28</v>
      </c>
      <c r="Y89" t="s">
        <v>28</v>
      </c>
      <c r="Z89">
        <v>1</v>
      </c>
      <c r="AA89">
        <v>1</v>
      </c>
      <c r="AB89">
        <v>0</v>
      </c>
      <c r="AC89">
        <v>1</v>
      </c>
      <c r="AD89">
        <v>0</v>
      </c>
      <c r="AE89">
        <v>1</v>
      </c>
      <c r="AF89">
        <v>0</v>
      </c>
      <c r="AG89">
        <v>0</v>
      </c>
      <c r="AH89">
        <v>1</v>
      </c>
      <c r="AI89">
        <v>1</v>
      </c>
      <c r="AJ89" t="s">
        <v>38</v>
      </c>
      <c r="AK89">
        <v>1</v>
      </c>
      <c r="AL89">
        <f t="shared" si="8"/>
        <v>7</v>
      </c>
      <c r="AM89">
        <v>0</v>
      </c>
      <c r="AN89">
        <v>0</v>
      </c>
      <c r="AO89">
        <f t="shared" si="9"/>
        <v>0</v>
      </c>
    </row>
    <row r="90" spans="1:41" x14ac:dyDescent="0.3">
      <c r="A90" t="s">
        <v>334</v>
      </c>
      <c r="B90" s="17">
        <v>45979</v>
      </c>
      <c r="C90" s="6" t="s">
        <v>237</v>
      </c>
      <c r="D90" s="6">
        <v>2</v>
      </c>
      <c r="E90">
        <v>1</v>
      </c>
      <c r="F90">
        <v>2</v>
      </c>
      <c r="G90" t="str">
        <f>A90 &amp; "-" &amp; C90 &amp; "-" &amp; D90 &amp; "-" &amp; E90 &amp; "-" &amp; F90</f>
        <v>ID_89-L-2-1-2</v>
      </c>
      <c r="H90" s="4">
        <v>0.51666666666666672</v>
      </c>
      <c r="I90" s="4">
        <v>0.52361111111111114</v>
      </c>
      <c r="J90" s="25">
        <f t="shared" si="5"/>
        <v>12.4</v>
      </c>
      <c r="K90" s="5">
        <v>21.2</v>
      </c>
      <c r="L90" s="5">
        <v>22.7</v>
      </c>
      <c r="M90" s="5">
        <f t="shared" si="6"/>
        <v>21.95</v>
      </c>
      <c r="N90">
        <v>31.8</v>
      </c>
      <c r="O90">
        <v>25.8</v>
      </c>
      <c r="P90">
        <v>18.3</v>
      </c>
      <c r="Q90">
        <f t="shared" si="7"/>
        <v>25.3</v>
      </c>
      <c r="R90" t="s">
        <v>56</v>
      </c>
      <c r="S90" t="s">
        <v>56</v>
      </c>
      <c r="T90">
        <v>0</v>
      </c>
      <c r="U90" t="s">
        <v>31</v>
      </c>
      <c r="V90" s="2" t="s">
        <v>245</v>
      </c>
      <c r="W90">
        <v>4</v>
      </c>
      <c r="X90" t="s">
        <v>28</v>
      </c>
      <c r="Y90" t="s">
        <v>28</v>
      </c>
      <c r="Z90">
        <v>1</v>
      </c>
      <c r="AA90">
        <v>0</v>
      </c>
      <c r="AB90">
        <v>1</v>
      </c>
      <c r="AC90">
        <v>1</v>
      </c>
      <c r="AD90">
        <v>0</v>
      </c>
      <c r="AE90">
        <v>0</v>
      </c>
      <c r="AF90">
        <v>0</v>
      </c>
      <c r="AG90">
        <v>1</v>
      </c>
      <c r="AH90">
        <v>1</v>
      </c>
      <c r="AI90">
        <v>1</v>
      </c>
      <c r="AJ90" t="s">
        <v>106</v>
      </c>
      <c r="AK90">
        <v>1</v>
      </c>
      <c r="AL90">
        <f t="shared" si="8"/>
        <v>7</v>
      </c>
      <c r="AM90">
        <v>0</v>
      </c>
      <c r="AN90">
        <v>0</v>
      </c>
      <c r="AO90">
        <f t="shared" si="9"/>
        <v>0</v>
      </c>
    </row>
    <row r="91" spans="1:41" x14ac:dyDescent="0.3">
      <c r="A91" t="s">
        <v>335</v>
      </c>
      <c r="B91" s="17">
        <v>45979</v>
      </c>
      <c r="C91" s="6" t="s">
        <v>237</v>
      </c>
      <c r="D91" s="6">
        <v>2</v>
      </c>
      <c r="E91">
        <v>1</v>
      </c>
      <c r="F91">
        <v>3</v>
      </c>
      <c r="G91" t="str">
        <f>A91 &amp; "-" &amp; C91 &amp; "-" &amp; D91 &amp; "-" &amp; E91 &amp; "-" &amp; F91</f>
        <v>ID_90-L-2-1-3</v>
      </c>
      <c r="H91" s="4">
        <v>0.52500000000000002</v>
      </c>
      <c r="I91" s="4">
        <v>0.53194444444444444</v>
      </c>
      <c r="J91" s="25">
        <f t="shared" si="5"/>
        <v>12.6</v>
      </c>
      <c r="K91" s="5">
        <v>22.7</v>
      </c>
      <c r="L91" s="5">
        <v>22.2</v>
      </c>
      <c r="M91" s="5">
        <f t="shared" si="6"/>
        <v>22.45</v>
      </c>
      <c r="N91">
        <v>31.8</v>
      </c>
      <c r="O91">
        <v>25.8</v>
      </c>
      <c r="P91">
        <v>18.3</v>
      </c>
      <c r="Q91">
        <f t="shared" si="7"/>
        <v>25.3</v>
      </c>
      <c r="R91" t="s">
        <v>56</v>
      </c>
      <c r="S91" t="s">
        <v>56</v>
      </c>
      <c r="T91">
        <v>0</v>
      </c>
      <c r="U91" t="s">
        <v>35</v>
      </c>
      <c r="V91" s="2" t="s">
        <v>245</v>
      </c>
      <c r="W91">
        <v>3</v>
      </c>
      <c r="X91" t="s">
        <v>28</v>
      </c>
      <c r="Y91" t="s">
        <v>28</v>
      </c>
      <c r="Z91">
        <v>1</v>
      </c>
      <c r="AA91">
        <v>1</v>
      </c>
      <c r="AB91">
        <v>1</v>
      </c>
      <c r="AC91">
        <v>1</v>
      </c>
      <c r="AD91">
        <v>0</v>
      </c>
      <c r="AE91">
        <v>0</v>
      </c>
      <c r="AF91">
        <v>0</v>
      </c>
      <c r="AG91">
        <v>1</v>
      </c>
      <c r="AH91">
        <v>1</v>
      </c>
      <c r="AI91">
        <v>0</v>
      </c>
      <c r="AJ91" t="s">
        <v>156</v>
      </c>
      <c r="AK91">
        <v>2</v>
      </c>
      <c r="AL91">
        <f t="shared" si="8"/>
        <v>8</v>
      </c>
      <c r="AM91">
        <v>0</v>
      </c>
      <c r="AN91">
        <v>0</v>
      </c>
      <c r="AO91">
        <f t="shared" si="9"/>
        <v>0</v>
      </c>
    </row>
    <row r="92" spans="1:41" x14ac:dyDescent="0.3">
      <c r="A92" t="s">
        <v>336</v>
      </c>
      <c r="B92" s="17">
        <v>45979</v>
      </c>
      <c r="C92" s="6" t="s">
        <v>237</v>
      </c>
      <c r="D92" s="6">
        <v>2</v>
      </c>
      <c r="E92">
        <v>1</v>
      </c>
      <c r="F92">
        <v>3</v>
      </c>
      <c r="G92" t="str">
        <f>A92 &amp; "-" &amp; C92 &amp; "-" &amp; D92 &amp; "-" &amp; E92 &amp; "-" &amp; F92</f>
        <v>ID_91-L-2-1-3</v>
      </c>
      <c r="H92" s="4">
        <v>0.52500000000000002</v>
      </c>
      <c r="I92" s="4">
        <v>0.53194444444444444</v>
      </c>
      <c r="J92" s="25">
        <f t="shared" si="5"/>
        <v>12.6</v>
      </c>
      <c r="K92" s="5">
        <v>22.7</v>
      </c>
      <c r="L92" s="5">
        <v>22.2</v>
      </c>
      <c r="M92" s="5">
        <f t="shared" si="6"/>
        <v>22.45</v>
      </c>
      <c r="N92">
        <v>31.8</v>
      </c>
      <c r="O92">
        <v>25.8</v>
      </c>
      <c r="P92">
        <v>18.3</v>
      </c>
      <c r="Q92">
        <f t="shared" si="7"/>
        <v>25.3</v>
      </c>
      <c r="R92" t="s">
        <v>56</v>
      </c>
      <c r="S92" t="s">
        <v>56</v>
      </c>
      <c r="T92">
        <v>0</v>
      </c>
      <c r="U92" t="s">
        <v>31</v>
      </c>
      <c r="V92" s="2" t="s">
        <v>245</v>
      </c>
      <c r="W92">
        <v>4</v>
      </c>
      <c r="X92" t="s">
        <v>28</v>
      </c>
      <c r="Y92" t="s">
        <v>28</v>
      </c>
      <c r="Z92">
        <v>1</v>
      </c>
      <c r="AA92">
        <v>0</v>
      </c>
      <c r="AB92">
        <v>1</v>
      </c>
      <c r="AC92">
        <v>1</v>
      </c>
      <c r="AD92">
        <v>0</v>
      </c>
      <c r="AE92">
        <v>0</v>
      </c>
      <c r="AF92">
        <v>0</v>
      </c>
      <c r="AG92">
        <v>0</v>
      </c>
      <c r="AH92">
        <v>1</v>
      </c>
      <c r="AI92">
        <v>0</v>
      </c>
      <c r="AJ92" t="s">
        <v>36</v>
      </c>
      <c r="AK92">
        <v>0</v>
      </c>
      <c r="AL92">
        <f t="shared" si="8"/>
        <v>4</v>
      </c>
      <c r="AM92">
        <v>0</v>
      </c>
      <c r="AN92">
        <v>0</v>
      </c>
      <c r="AO92">
        <f t="shared" si="9"/>
        <v>0</v>
      </c>
    </row>
    <row r="93" spans="1:41" x14ac:dyDescent="0.3">
      <c r="A93" t="s">
        <v>337</v>
      </c>
      <c r="B93" s="17">
        <v>45979</v>
      </c>
      <c r="C93" s="6" t="s">
        <v>237</v>
      </c>
      <c r="D93" s="6">
        <v>4</v>
      </c>
      <c r="E93">
        <v>1</v>
      </c>
      <c r="F93">
        <v>1</v>
      </c>
      <c r="G93" t="str">
        <f>A93 &amp; "-" &amp; C93 &amp; "-" &amp; D93 &amp; "-" &amp; E93 &amp; "-" &amp; F93</f>
        <v>ID_92-L-4-1-1</v>
      </c>
      <c r="H93" s="4">
        <v>0.45</v>
      </c>
      <c r="I93" s="4">
        <v>0.45833333333333331</v>
      </c>
      <c r="J93" s="25">
        <f t="shared" si="5"/>
        <v>10.8</v>
      </c>
      <c r="K93" s="5">
        <v>18.3</v>
      </c>
      <c r="L93" s="5">
        <v>19.2</v>
      </c>
      <c r="M93" s="5">
        <f t="shared" si="6"/>
        <v>18.75</v>
      </c>
      <c r="N93">
        <v>31.8</v>
      </c>
      <c r="O93">
        <v>25.8</v>
      </c>
      <c r="P93">
        <v>18.3</v>
      </c>
      <c r="Q93">
        <f t="shared" si="7"/>
        <v>25.3</v>
      </c>
      <c r="R93" t="s">
        <v>50</v>
      </c>
      <c r="S93" t="s">
        <v>50</v>
      </c>
      <c r="T93">
        <v>1</v>
      </c>
      <c r="U93" t="s">
        <v>26</v>
      </c>
      <c r="V93" s="2" t="s">
        <v>245</v>
      </c>
      <c r="W93">
        <v>2</v>
      </c>
      <c r="X93" t="s">
        <v>28</v>
      </c>
      <c r="Y93" t="s">
        <v>28</v>
      </c>
      <c r="Z93">
        <v>1</v>
      </c>
      <c r="AA93">
        <v>0</v>
      </c>
      <c r="AB93">
        <v>1</v>
      </c>
      <c r="AC93">
        <v>1</v>
      </c>
      <c r="AD93">
        <v>0</v>
      </c>
      <c r="AE93">
        <v>0</v>
      </c>
      <c r="AF93">
        <v>0</v>
      </c>
      <c r="AG93">
        <v>1</v>
      </c>
      <c r="AH93">
        <v>0</v>
      </c>
      <c r="AI93">
        <v>1</v>
      </c>
      <c r="AJ93" t="s">
        <v>192</v>
      </c>
      <c r="AK93">
        <v>3</v>
      </c>
      <c r="AL93">
        <f t="shared" si="8"/>
        <v>8</v>
      </c>
      <c r="AM93">
        <v>0</v>
      </c>
      <c r="AN93">
        <v>0</v>
      </c>
      <c r="AO93">
        <f t="shared" si="9"/>
        <v>0</v>
      </c>
    </row>
    <row r="94" spans="1:41" x14ac:dyDescent="0.3">
      <c r="A94" t="s">
        <v>338</v>
      </c>
      <c r="B94" s="17">
        <v>45979</v>
      </c>
      <c r="C94" s="6" t="s">
        <v>237</v>
      </c>
      <c r="D94" s="6">
        <v>4</v>
      </c>
      <c r="E94">
        <v>1</v>
      </c>
      <c r="F94">
        <v>2</v>
      </c>
      <c r="G94" t="str">
        <f>A94 &amp; "-" &amp; C94 &amp; "-" &amp; D94 &amp; "-" &amp; E94 &amp; "-" &amp; F94</f>
        <v>ID_93-L-4-1-2</v>
      </c>
      <c r="H94" s="4">
        <v>0.4597222222222222</v>
      </c>
      <c r="I94" s="4">
        <v>0.46666666666666667</v>
      </c>
      <c r="J94" s="25">
        <f t="shared" si="5"/>
        <v>11.033333333333333</v>
      </c>
      <c r="K94" s="5">
        <v>19.2</v>
      </c>
      <c r="L94" s="5">
        <v>19.600000000000001</v>
      </c>
      <c r="M94" s="5">
        <f t="shared" si="6"/>
        <v>19.399999999999999</v>
      </c>
      <c r="N94">
        <v>31.8</v>
      </c>
      <c r="O94">
        <v>25.8</v>
      </c>
      <c r="P94">
        <v>18.3</v>
      </c>
      <c r="Q94">
        <f t="shared" si="7"/>
        <v>25.3</v>
      </c>
      <c r="R94" t="s">
        <v>50</v>
      </c>
      <c r="S94" t="s">
        <v>50</v>
      </c>
      <c r="T94">
        <v>1</v>
      </c>
      <c r="U94" t="s">
        <v>35</v>
      </c>
      <c r="V94" s="2" t="s">
        <v>245</v>
      </c>
      <c r="W94">
        <v>3</v>
      </c>
      <c r="X94" t="s">
        <v>28</v>
      </c>
      <c r="Y94" t="s">
        <v>28</v>
      </c>
      <c r="Z94">
        <v>1</v>
      </c>
      <c r="AA94">
        <v>0</v>
      </c>
      <c r="AB94">
        <v>1</v>
      </c>
      <c r="AC94">
        <v>1</v>
      </c>
      <c r="AD94">
        <v>0</v>
      </c>
      <c r="AE94">
        <v>0</v>
      </c>
      <c r="AF94">
        <v>1</v>
      </c>
      <c r="AG94">
        <v>1</v>
      </c>
      <c r="AH94">
        <v>0</v>
      </c>
      <c r="AI94">
        <v>1</v>
      </c>
      <c r="AJ94" t="s">
        <v>162</v>
      </c>
      <c r="AK94">
        <v>2</v>
      </c>
      <c r="AL94">
        <f t="shared" si="8"/>
        <v>8</v>
      </c>
      <c r="AM94">
        <v>0</v>
      </c>
      <c r="AN94">
        <v>0</v>
      </c>
      <c r="AO94">
        <f t="shared" si="9"/>
        <v>0</v>
      </c>
    </row>
    <row r="95" spans="1:41" x14ac:dyDescent="0.3">
      <c r="A95" t="s">
        <v>339</v>
      </c>
      <c r="B95" s="17">
        <v>45979</v>
      </c>
      <c r="C95" s="6" t="s">
        <v>237</v>
      </c>
      <c r="D95" s="6">
        <v>4</v>
      </c>
      <c r="E95">
        <v>1</v>
      </c>
      <c r="F95">
        <v>2</v>
      </c>
      <c r="G95" t="str">
        <f>A95 &amp; "-" &amp; C95 &amp; "-" &amp; D95 &amp; "-" &amp; E95 &amp; "-" &amp; F95</f>
        <v>ID_94-L-4-1-2</v>
      </c>
      <c r="H95" s="4">
        <v>0.4597222222222222</v>
      </c>
      <c r="I95" s="4">
        <v>0.46666666666666667</v>
      </c>
      <c r="J95" s="25">
        <f t="shared" si="5"/>
        <v>11.033333333333333</v>
      </c>
      <c r="K95" s="5">
        <v>19.2</v>
      </c>
      <c r="L95" s="5">
        <v>19.600000000000001</v>
      </c>
      <c r="M95" s="5">
        <f t="shared" si="6"/>
        <v>19.399999999999999</v>
      </c>
      <c r="N95">
        <v>31.8</v>
      </c>
      <c r="O95">
        <v>25.8</v>
      </c>
      <c r="P95">
        <v>18.3</v>
      </c>
      <c r="Q95">
        <f t="shared" si="7"/>
        <v>25.3</v>
      </c>
      <c r="R95" t="s">
        <v>50</v>
      </c>
      <c r="S95" t="s">
        <v>50</v>
      </c>
      <c r="T95">
        <v>1</v>
      </c>
      <c r="U95" t="s">
        <v>35</v>
      </c>
      <c r="V95" s="2" t="s">
        <v>245</v>
      </c>
      <c r="W95">
        <v>3</v>
      </c>
      <c r="X95" t="s">
        <v>28</v>
      </c>
      <c r="Y95" t="s">
        <v>28</v>
      </c>
      <c r="Z95">
        <v>1</v>
      </c>
      <c r="AA95">
        <v>0</v>
      </c>
      <c r="AB95">
        <v>1</v>
      </c>
      <c r="AC95">
        <v>1</v>
      </c>
      <c r="AD95">
        <v>0</v>
      </c>
      <c r="AE95">
        <v>1</v>
      </c>
      <c r="AF95">
        <v>0</v>
      </c>
      <c r="AG95">
        <v>1</v>
      </c>
      <c r="AH95">
        <v>0</v>
      </c>
      <c r="AI95">
        <v>1</v>
      </c>
      <c r="AJ95" t="s">
        <v>36</v>
      </c>
      <c r="AK95">
        <v>0</v>
      </c>
      <c r="AL95">
        <f t="shared" si="8"/>
        <v>6</v>
      </c>
      <c r="AM95">
        <v>0</v>
      </c>
      <c r="AN95">
        <v>0</v>
      </c>
      <c r="AO95">
        <f t="shared" si="9"/>
        <v>0</v>
      </c>
    </row>
    <row r="96" spans="1:41" x14ac:dyDescent="0.3">
      <c r="A96" t="s">
        <v>340</v>
      </c>
      <c r="B96" s="17">
        <v>45979</v>
      </c>
      <c r="C96" s="6" t="s">
        <v>238</v>
      </c>
      <c r="D96" s="6">
        <v>2</v>
      </c>
      <c r="E96">
        <v>1</v>
      </c>
      <c r="F96">
        <v>1</v>
      </c>
      <c r="G96" t="str">
        <f>A96 &amp; "-" &amp; C96 &amp; "-" &amp; D96 &amp; "-" &amp; E96 &amp; "-" &amp; F96</f>
        <v>ID_95-M-2-1-1</v>
      </c>
      <c r="H96" s="4">
        <v>0.57430555555555551</v>
      </c>
      <c r="I96" s="4">
        <v>0.58125000000000004</v>
      </c>
      <c r="J96" s="25">
        <f t="shared" si="5"/>
        <v>13.783333333333333</v>
      </c>
      <c r="K96" s="5">
        <v>23.5</v>
      </c>
      <c r="L96" s="5">
        <v>23.5</v>
      </c>
      <c r="M96" s="5">
        <f t="shared" si="6"/>
        <v>23.5</v>
      </c>
      <c r="N96">
        <v>31.8</v>
      </c>
      <c r="O96">
        <v>25.8</v>
      </c>
      <c r="P96">
        <v>18.3</v>
      </c>
      <c r="Q96">
        <f t="shared" si="7"/>
        <v>25.3</v>
      </c>
      <c r="R96" t="s">
        <v>56</v>
      </c>
      <c r="S96" t="s">
        <v>56</v>
      </c>
      <c r="T96">
        <v>0</v>
      </c>
      <c r="U96" t="s">
        <v>31</v>
      </c>
      <c r="V96" s="2" t="s">
        <v>245</v>
      </c>
      <c r="W96">
        <v>4</v>
      </c>
      <c r="X96" t="s">
        <v>28</v>
      </c>
      <c r="Y96" t="s">
        <v>28</v>
      </c>
      <c r="Z96">
        <v>1</v>
      </c>
      <c r="AA96">
        <v>1</v>
      </c>
      <c r="AB96">
        <v>1</v>
      </c>
      <c r="AC96">
        <v>0</v>
      </c>
      <c r="AD96">
        <v>0</v>
      </c>
      <c r="AE96">
        <v>0</v>
      </c>
      <c r="AF96">
        <v>0</v>
      </c>
      <c r="AG96">
        <v>1</v>
      </c>
      <c r="AH96">
        <v>1</v>
      </c>
      <c r="AI96">
        <v>1</v>
      </c>
      <c r="AJ96" t="s">
        <v>38</v>
      </c>
      <c r="AK96">
        <v>1</v>
      </c>
      <c r="AL96">
        <f t="shared" si="8"/>
        <v>7</v>
      </c>
      <c r="AM96">
        <v>0</v>
      </c>
      <c r="AN96">
        <v>0</v>
      </c>
      <c r="AO96">
        <f t="shared" si="9"/>
        <v>0</v>
      </c>
    </row>
    <row r="97" spans="1:42" x14ac:dyDescent="0.3">
      <c r="A97" t="s">
        <v>341</v>
      </c>
      <c r="B97" s="17">
        <v>45979</v>
      </c>
      <c r="C97" s="6" t="s">
        <v>238</v>
      </c>
      <c r="D97" s="6">
        <v>2</v>
      </c>
      <c r="E97">
        <v>1</v>
      </c>
      <c r="F97">
        <v>1</v>
      </c>
      <c r="G97" t="str">
        <f>A97 &amp; "-" &amp; C97 &amp; "-" &amp; D97 &amp; "-" &amp; E97 &amp; "-" &amp; F97</f>
        <v>ID_96-M-2-1-1</v>
      </c>
      <c r="H97" s="4">
        <v>0.57430555555555551</v>
      </c>
      <c r="I97" s="4">
        <v>0.58125000000000004</v>
      </c>
      <c r="J97" s="25">
        <f t="shared" si="5"/>
        <v>13.783333333333333</v>
      </c>
      <c r="K97" s="5">
        <v>23.5</v>
      </c>
      <c r="L97" s="5">
        <v>23.5</v>
      </c>
      <c r="M97" s="5">
        <f t="shared" si="6"/>
        <v>23.5</v>
      </c>
      <c r="N97">
        <v>31.8</v>
      </c>
      <c r="O97">
        <v>25.8</v>
      </c>
      <c r="P97">
        <v>18.3</v>
      </c>
      <c r="Q97">
        <f t="shared" si="7"/>
        <v>25.3</v>
      </c>
      <c r="R97" t="s">
        <v>56</v>
      </c>
      <c r="S97" t="s">
        <v>56</v>
      </c>
      <c r="T97">
        <v>0</v>
      </c>
      <c r="U97" t="s">
        <v>31</v>
      </c>
      <c r="V97" s="2" t="s">
        <v>245</v>
      </c>
      <c r="W97">
        <v>4</v>
      </c>
      <c r="X97" t="s">
        <v>28</v>
      </c>
      <c r="Y97" t="s">
        <v>28</v>
      </c>
      <c r="Z97">
        <v>1</v>
      </c>
      <c r="AA97">
        <v>1</v>
      </c>
      <c r="AB97">
        <v>0</v>
      </c>
      <c r="AC97">
        <v>1</v>
      </c>
      <c r="AD97">
        <v>0</v>
      </c>
      <c r="AE97">
        <v>0</v>
      </c>
      <c r="AF97">
        <v>0</v>
      </c>
      <c r="AG97">
        <v>1</v>
      </c>
      <c r="AH97">
        <v>1</v>
      </c>
      <c r="AI97">
        <v>1</v>
      </c>
      <c r="AJ97" t="s">
        <v>158</v>
      </c>
      <c r="AK97">
        <v>2</v>
      </c>
      <c r="AL97">
        <f t="shared" si="8"/>
        <v>8</v>
      </c>
      <c r="AM97">
        <v>0</v>
      </c>
      <c r="AN97">
        <v>0</v>
      </c>
      <c r="AO97">
        <f t="shared" si="9"/>
        <v>0</v>
      </c>
    </row>
    <row r="98" spans="1:42" x14ac:dyDescent="0.3">
      <c r="A98" t="s">
        <v>342</v>
      </c>
      <c r="B98" s="17">
        <v>45979</v>
      </c>
      <c r="C98" s="6" t="s">
        <v>238</v>
      </c>
      <c r="D98" s="6">
        <v>3</v>
      </c>
      <c r="E98">
        <v>1</v>
      </c>
      <c r="F98">
        <v>1</v>
      </c>
      <c r="G98" t="str">
        <f>A98 &amp; "-" &amp; C98 &amp; "-" &amp; D98 &amp; "-" &amp; E98 &amp; "-" &amp; F98</f>
        <v>ID_97-M-3-1-1</v>
      </c>
      <c r="H98" s="4">
        <v>0.58402777777777781</v>
      </c>
      <c r="I98" s="4">
        <v>0.59166666666666667</v>
      </c>
      <c r="J98" s="25">
        <f t="shared" si="5"/>
        <v>14.016666666666667</v>
      </c>
      <c r="K98" s="5">
        <v>23.5</v>
      </c>
      <c r="L98" s="5">
        <v>24.4</v>
      </c>
      <c r="M98" s="5">
        <f t="shared" si="6"/>
        <v>23.95</v>
      </c>
      <c r="N98">
        <v>31.8</v>
      </c>
      <c r="O98">
        <v>25.8</v>
      </c>
      <c r="P98">
        <v>18.3</v>
      </c>
      <c r="Q98">
        <f t="shared" si="7"/>
        <v>25.3</v>
      </c>
      <c r="R98" t="s">
        <v>56</v>
      </c>
      <c r="S98" t="s">
        <v>56</v>
      </c>
      <c r="T98">
        <v>0</v>
      </c>
      <c r="U98" t="s">
        <v>35</v>
      </c>
      <c r="V98" s="2" t="s">
        <v>245</v>
      </c>
      <c r="W98">
        <v>3</v>
      </c>
      <c r="X98" t="s">
        <v>28</v>
      </c>
      <c r="Y98" t="s">
        <v>28</v>
      </c>
      <c r="Z98">
        <v>1</v>
      </c>
      <c r="AA98">
        <v>0</v>
      </c>
      <c r="AB98">
        <v>1</v>
      </c>
      <c r="AC98">
        <v>0</v>
      </c>
      <c r="AD98">
        <v>0</v>
      </c>
      <c r="AE98">
        <v>0</v>
      </c>
      <c r="AF98">
        <v>0</v>
      </c>
      <c r="AG98">
        <v>1</v>
      </c>
      <c r="AH98">
        <v>1</v>
      </c>
      <c r="AI98">
        <v>1</v>
      </c>
      <c r="AJ98" t="s">
        <v>159</v>
      </c>
      <c r="AK98">
        <v>3</v>
      </c>
      <c r="AL98">
        <f t="shared" si="8"/>
        <v>8</v>
      </c>
      <c r="AM98">
        <v>0</v>
      </c>
      <c r="AN98">
        <v>0</v>
      </c>
      <c r="AO98">
        <f t="shared" si="9"/>
        <v>0</v>
      </c>
    </row>
    <row r="99" spans="1:42" x14ac:dyDescent="0.3">
      <c r="A99" t="s">
        <v>343</v>
      </c>
      <c r="B99" s="17">
        <v>45979</v>
      </c>
      <c r="C99" s="6" t="s">
        <v>238</v>
      </c>
      <c r="D99" s="6">
        <v>3</v>
      </c>
      <c r="E99">
        <v>1</v>
      </c>
      <c r="F99">
        <v>1</v>
      </c>
      <c r="G99" t="str">
        <f>A99 &amp; "-" &amp; C99 &amp; "-" &amp; D99 &amp; "-" &amp; E99 &amp; "-" &amp; F99</f>
        <v>ID_98-M-3-1-1</v>
      </c>
      <c r="H99" s="4">
        <v>0.58402777777777781</v>
      </c>
      <c r="I99" s="4">
        <v>0.59097222222222223</v>
      </c>
      <c r="J99" s="25">
        <f t="shared" si="5"/>
        <v>14.016666666666667</v>
      </c>
      <c r="K99" s="5">
        <v>23.5</v>
      </c>
      <c r="L99" s="5">
        <v>24.4</v>
      </c>
      <c r="M99" s="5">
        <f t="shared" si="6"/>
        <v>23.95</v>
      </c>
      <c r="N99">
        <v>31.8</v>
      </c>
      <c r="O99">
        <v>25.8</v>
      </c>
      <c r="P99">
        <v>18.3</v>
      </c>
      <c r="Q99">
        <f t="shared" si="7"/>
        <v>25.3</v>
      </c>
      <c r="R99" t="s">
        <v>56</v>
      </c>
      <c r="S99" t="s">
        <v>56</v>
      </c>
      <c r="T99">
        <v>0</v>
      </c>
      <c r="U99" t="s">
        <v>35</v>
      </c>
      <c r="V99" s="2" t="s">
        <v>245</v>
      </c>
      <c r="W99">
        <v>3</v>
      </c>
      <c r="X99" t="s">
        <v>28</v>
      </c>
      <c r="Y99" t="s">
        <v>28</v>
      </c>
      <c r="Z99">
        <v>0</v>
      </c>
      <c r="AA99">
        <v>0</v>
      </c>
      <c r="AB99">
        <v>1</v>
      </c>
      <c r="AC99">
        <v>1</v>
      </c>
      <c r="AD99">
        <v>0</v>
      </c>
      <c r="AE99">
        <v>1</v>
      </c>
      <c r="AF99">
        <v>0</v>
      </c>
      <c r="AG99">
        <v>1</v>
      </c>
      <c r="AH99">
        <v>1</v>
      </c>
      <c r="AI99">
        <v>1</v>
      </c>
      <c r="AJ99" t="s">
        <v>157</v>
      </c>
      <c r="AK99">
        <v>3</v>
      </c>
      <c r="AL99">
        <f t="shared" si="8"/>
        <v>9</v>
      </c>
      <c r="AM99">
        <v>0</v>
      </c>
      <c r="AN99">
        <v>0</v>
      </c>
      <c r="AO99">
        <f t="shared" si="9"/>
        <v>0</v>
      </c>
    </row>
    <row r="100" spans="1:42" x14ac:dyDescent="0.3">
      <c r="A100" t="s">
        <v>344</v>
      </c>
      <c r="B100" s="17">
        <v>45979</v>
      </c>
      <c r="C100" s="6" t="s">
        <v>238</v>
      </c>
      <c r="D100" s="6">
        <v>3</v>
      </c>
      <c r="E100">
        <v>2</v>
      </c>
      <c r="F100">
        <v>1</v>
      </c>
      <c r="G100" t="str">
        <f>A100 &amp; "-" &amp; C100 &amp; "-" &amp; D100 &amp; "-" &amp; E100 &amp; "-" &amp; F100</f>
        <v>ID_99-M-3-2-1</v>
      </c>
      <c r="H100" s="4">
        <v>0.59236111111111112</v>
      </c>
      <c r="I100" s="4">
        <v>0.6</v>
      </c>
      <c r="J100" s="25">
        <f t="shared" si="5"/>
        <v>14.216666666666667</v>
      </c>
      <c r="K100" s="5">
        <v>24.4</v>
      </c>
      <c r="L100" s="5">
        <v>23.8</v>
      </c>
      <c r="M100" s="5">
        <f t="shared" si="6"/>
        <v>24.1</v>
      </c>
      <c r="N100">
        <v>31.8</v>
      </c>
      <c r="O100">
        <v>25.8</v>
      </c>
      <c r="P100">
        <v>18.3</v>
      </c>
      <c r="Q100">
        <f t="shared" si="7"/>
        <v>25.3</v>
      </c>
      <c r="R100" t="s">
        <v>56</v>
      </c>
      <c r="S100" t="s">
        <v>56</v>
      </c>
      <c r="T100">
        <v>0</v>
      </c>
      <c r="U100" t="s">
        <v>35</v>
      </c>
      <c r="V100" s="2" t="s">
        <v>245</v>
      </c>
      <c r="W100">
        <v>3</v>
      </c>
      <c r="X100" t="s">
        <v>28</v>
      </c>
      <c r="Y100" t="s">
        <v>28</v>
      </c>
      <c r="Z100">
        <v>0</v>
      </c>
      <c r="AA100">
        <v>0</v>
      </c>
      <c r="AB100">
        <v>1</v>
      </c>
      <c r="AC100">
        <v>1</v>
      </c>
      <c r="AD100">
        <v>0</v>
      </c>
      <c r="AE100">
        <v>0</v>
      </c>
      <c r="AF100">
        <v>0</v>
      </c>
      <c r="AG100">
        <v>1</v>
      </c>
      <c r="AH100">
        <v>1</v>
      </c>
      <c r="AI100">
        <v>1</v>
      </c>
      <c r="AJ100" t="s">
        <v>160</v>
      </c>
      <c r="AK100">
        <v>1</v>
      </c>
      <c r="AL100">
        <f t="shared" si="8"/>
        <v>6</v>
      </c>
      <c r="AM100">
        <v>0</v>
      </c>
      <c r="AN100">
        <v>0</v>
      </c>
      <c r="AO100">
        <f t="shared" si="9"/>
        <v>0</v>
      </c>
    </row>
    <row r="101" spans="1:42" x14ac:dyDescent="0.3">
      <c r="A101" t="s">
        <v>345</v>
      </c>
      <c r="B101" s="17">
        <v>45979</v>
      </c>
      <c r="C101" s="6" t="s">
        <v>238</v>
      </c>
      <c r="D101" s="6">
        <v>3</v>
      </c>
      <c r="E101">
        <v>2</v>
      </c>
      <c r="F101">
        <v>1</v>
      </c>
      <c r="G101" t="str">
        <f>A101 &amp; "-" &amp; C101 &amp; "-" &amp; D101 &amp; "-" &amp; E101 &amp; "-" &amp; F101</f>
        <v>ID_100-M-3-2-1</v>
      </c>
      <c r="H101" s="4">
        <v>0.59305555555555556</v>
      </c>
      <c r="I101" s="4">
        <v>0.6</v>
      </c>
      <c r="J101" s="25">
        <f t="shared" si="5"/>
        <v>14.233333333333333</v>
      </c>
      <c r="K101" s="5">
        <v>24.4</v>
      </c>
      <c r="L101" s="5">
        <v>23.8</v>
      </c>
      <c r="M101" s="5">
        <f t="shared" si="6"/>
        <v>24.1</v>
      </c>
      <c r="N101">
        <v>31.8</v>
      </c>
      <c r="O101">
        <v>25.8</v>
      </c>
      <c r="P101">
        <v>18.3</v>
      </c>
      <c r="Q101">
        <f t="shared" si="7"/>
        <v>25.3</v>
      </c>
      <c r="R101" t="s">
        <v>56</v>
      </c>
      <c r="S101" t="s">
        <v>56</v>
      </c>
      <c r="T101">
        <v>0</v>
      </c>
      <c r="U101" t="s">
        <v>35</v>
      </c>
      <c r="V101" s="2" t="s">
        <v>245</v>
      </c>
      <c r="W101">
        <v>3</v>
      </c>
      <c r="X101" t="s">
        <v>28</v>
      </c>
      <c r="Y101" t="s">
        <v>28</v>
      </c>
      <c r="Z101">
        <v>0</v>
      </c>
      <c r="AA101">
        <v>0</v>
      </c>
      <c r="AB101">
        <v>1</v>
      </c>
      <c r="AC101">
        <v>1</v>
      </c>
      <c r="AD101">
        <v>0</v>
      </c>
      <c r="AE101">
        <v>0</v>
      </c>
      <c r="AF101">
        <v>0</v>
      </c>
      <c r="AG101">
        <v>1</v>
      </c>
      <c r="AH101">
        <v>1</v>
      </c>
      <c r="AI101">
        <v>1</v>
      </c>
      <c r="AJ101" t="s">
        <v>51</v>
      </c>
      <c r="AK101">
        <v>1</v>
      </c>
      <c r="AL101">
        <f t="shared" si="8"/>
        <v>6</v>
      </c>
      <c r="AM101">
        <v>0</v>
      </c>
      <c r="AN101">
        <v>0</v>
      </c>
      <c r="AO101">
        <f t="shared" si="9"/>
        <v>0</v>
      </c>
    </row>
    <row r="102" spans="1:42" x14ac:dyDescent="0.3">
      <c r="A102" t="s">
        <v>346</v>
      </c>
      <c r="B102" s="17">
        <v>45979</v>
      </c>
      <c r="C102" s="6" t="s">
        <v>238</v>
      </c>
      <c r="D102" s="6">
        <v>3</v>
      </c>
      <c r="E102">
        <v>3</v>
      </c>
      <c r="F102">
        <v>1</v>
      </c>
      <c r="G102" t="str">
        <f>A102 &amp; "-" &amp; C102 &amp; "-" &amp; D102 &amp; "-" &amp; E102 &amp; "-" &amp; F102</f>
        <v>ID_101-M-3-3-1</v>
      </c>
      <c r="H102" s="4">
        <v>0.6020833333333333</v>
      </c>
      <c r="I102" s="4">
        <v>0.60902777777777772</v>
      </c>
      <c r="J102" s="25">
        <f t="shared" si="5"/>
        <v>14.45</v>
      </c>
      <c r="K102" s="5">
        <v>23.8</v>
      </c>
      <c r="L102" s="5">
        <v>24</v>
      </c>
      <c r="M102" s="5">
        <f t="shared" si="6"/>
        <v>23.9</v>
      </c>
      <c r="N102">
        <v>31.8</v>
      </c>
      <c r="O102">
        <v>25.8</v>
      </c>
      <c r="P102">
        <v>18.3</v>
      </c>
      <c r="Q102">
        <f t="shared" si="7"/>
        <v>25.3</v>
      </c>
      <c r="R102" t="s">
        <v>56</v>
      </c>
      <c r="S102" t="s">
        <v>56</v>
      </c>
      <c r="T102">
        <v>0</v>
      </c>
      <c r="U102" t="s">
        <v>35</v>
      </c>
      <c r="V102" s="2" t="s">
        <v>245</v>
      </c>
      <c r="W102">
        <v>3</v>
      </c>
      <c r="X102" t="s">
        <v>28</v>
      </c>
      <c r="Y102" t="s">
        <v>28</v>
      </c>
      <c r="Z102">
        <v>0</v>
      </c>
      <c r="AA102">
        <v>0</v>
      </c>
      <c r="AB102">
        <v>1</v>
      </c>
      <c r="AC102">
        <v>1</v>
      </c>
      <c r="AD102">
        <v>0</v>
      </c>
      <c r="AE102">
        <v>0</v>
      </c>
      <c r="AF102">
        <v>0</v>
      </c>
      <c r="AG102">
        <v>1</v>
      </c>
      <c r="AH102">
        <v>0</v>
      </c>
      <c r="AI102">
        <v>0</v>
      </c>
      <c r="AJ102" t="s">
        <v>36</v>
      </c>
      <c r="AK102">
        <v>0</v>
      </c>
      <c r="AL102">
        <f t="shared" si="8"/>
        <v>3</v>
      </c>
      <c r="AM102">
        <v>0</v>
      </c>
      <c r="AN102">
        <v>0</v>
      </c>
      <c r="AO102">
        <f t="shared" si="9"/>
        <v>0</v>
      </c>
    </row>
    <row r="103" spans="1:42" x14ac:dyDescent="0.3">
      <c r="A103" t="s">
        <v>347</v>
      </c>
      <c r="B103" s="17">
        <v>45979</v>
      </c>
      <c r="C103" s="6" t="s">
        <v>238</v>
      </c>
      <c r="D103" s="6">
        <v>3</v>
      </c>
      <c r="E103">
        <v>3</v>
      </c>
      <c r="F103">
        <v>1</v>
      </c>
      <c r="G103" t="str">
        <f>A103 &amp; "-" &amp; C103 &amp; "-" &amp; D103 &amp; "-" &amp; E103 &amp; "-" &amp; F103</f>
        <v>ID_102-M-3-3-1</v>
      </c>
      <c r="H103" s="4">
        <v>0.6020833333333333</v>
      </c>
      <c r="I103" s="4">
        <v>0.60902777777777772</v>
      </c>
      <c r="J103" s="25">
        <f t="shared" si="5"/>
        <v>14.45</v>
      </c>
      <c r="K103" s="5">
        <v>23.8</v>
      </c>
      <c r="L103" s="5">
        <v>24</v>
      </c>
      <c r="M103" s="5">
        <f t="shared" si="6"/>
        <v>23.9</v>
      </c>
      <c r="N103">
        <v>31.8</v>
      </c>
      <c r="O103">
        <v>25.8</v>
      </c>
      <c r="P103">
        <v>18.3</v>
      </c>
      <c r="Q103">
        <f t="shared" si="7"/>
        <v>25.3</v>
      </c>
      <c r="R103" t="s">
        <v>56</v>
      </c>
      <c r="S103" t="s">
        <v>56</v>
      </c>
      <c r="T103">
        <v>0</v>
      </c>
      <c r="U103" t="s">
        <v>26</v>
      </c>
      <c r="V103" s="2" t="s">
        <v>245</v>
      </c>
      <c r="W103">
        <v>2</v>
      </c>
      <c r="X103" t="s">
        <v>28</v>
      </c>
      <c r="Y103" t="s">
        <v>28</v>
      </c>
      <c r="Z103">
        <v>1</v>
      </c>
      <c r="AA103">
        <v>0</v>
      </c>
      <c r="AB103">
        <v>1</v>
      </c>
      <c r="AC103">
        <v>1</v>
      </c>
      <c r="AD103">
        <v>0</v>
      </c>
      <c r="AE103">
        <v>0</v>
      </c>
      <c r="AF103">
        <v>1</v>
      </c>
      <c r="AG103">
        <v>1</v>
      </c>
      <c r="AH103">
        <v>0</v>
      </c>
      <c r="AI103">
        <v>1</v>
      </c>
      <c r="AJ103" t="s">
        <v>211</v>
      </c>
      <c r="AK103">
        <v>1</v>
      </c>
      <c r="AL103">
        <f t="shared" si="8"/>
        <v>7</v>
      </c>
      <c r="AM103">
        <v>0</v>
      </c>
      <c r="AN103">
        <v>1</v>
      </c>
      <c r="AO103">
        <f t="shared" si="9"/>
        <v>1</v>
      </c>
      <c r="AP103" t="s">
        <v>161</v>
      </c>
    </row>
    <row r="104" spans="1:42" x14ac:dyDescent="0.3">
      <c r="A104" t="s">
        <v>348</v>
      </c>
      <c r="B104" s="17">
        <v>45980</v>
      </c>
      <c r="C104" s="6" t="s">
        <v>236</v>
      </c>
      <c r="D104" s="6" t="s">
        <v>241</v>
      </c>
      <c r="E104">
        <v>1</v>
      </c>
      <c r="F104">
        <v>1</v>
      </c>
      <c r="G104" t="str">
        <f>A104 &amp; "-" &amp; C104 &amp; "-" &amp; D104 &amp; "-" &amp; E104 &amp; "-" &amp; F104</f>
        <v>ID_103-G-11-1-1</v>
      </c>
      <c r="H104" s="4">
        <v>0.56458333333333333</v>
      </c>
      <c r="I104" s="4">
        <v>0.57152777777777775</v>
      </c>
      <c r="J104" s="25">
        <f t="shared" si="5"/>
        <v>13.55</v>
      </c>
      <c r="K104" s="5">
        <v>25.3</v>
      </c>
      <c r="L104" s="5">
        <v>25.4</v>
      </c>
      <c r="M104" s="5">
        <f t="shared" si="6"/>
        <v>25.35</v>
      </c>
      <c r="N104">
        <v>25.8</v>
      </c>
      <c r="O104">
        <v>18.3</v>
      </c>
      <c r="P104">
        <v>25.5</v>
      </c>
      <c r="Q104">
        <f t="shared" si="7"/>
        <v>23.2</v>
      </c>
      <c r="R104" t="s">
        <v>30</v>
      </c>
      <c r="S104" t="s">
        <v>27</v>
      </c>
      <c r="T104">
        <v>3</v>
      </c>
      <c r="U104" t="s">
        <v>35</v>
      </c>
      <c r="V104" s="2" t="s">
        <v>245</v>
      </c>
      <c r="W104">
        <v>3</v>
      </c>
      <c r="X104" t="s">
        <v>28</v>
      </c>
      <c r="Y104" t="s">
        <v>28</v>
      </c>
      <c r="Z104">
        <v>0</v>
      </c>
      <c r="AA104">
        <v>0</v>
      </c>
      <c r="AB104">
        <v>1</v>
      </c>
      <c r="AC104">
        <v>0</v>
      </c>
      <c r="AD104">
        <v>0</v>
      </c>
      <c r="AE104">
        <v>0</v>
      </c>
      <c r="AF104">
        <v>0</v>
      </c>
      <c r="AG104">
        <v>1</v>
      </c>
      <c r="AH104">
        <v>1</v>
      </c>
      <c r="AI104">
        <v>0</v>
      </c>
      <c r="AJ104" t="s">
        <v>120</v>
      </c>
      <c r="AK104">
        <v>2</v>
      </c>
      <c r="AL104">
        <f t="shared" si="8"/>
        <v>5</v>
      </c>
      <c r="AM104" s="2">
        <v>0</v>
      </c>
      <c r="AN104" s="2">
        <v>0</v>
      </c>
      <c r="AO104">
        <f t="shared" si="9"/>
        <v>0</v>
      </c>
    </row>
    <row r="105" spans="1:42" x14ac:dyDescent="0.3">
      <c r="A105" t="s">
        <v>349</v>
      </c>
      <c r="B105" s="17">
        <v>45980</v>
      </c>
      <c r="C105" s="6" t="s">
        <v>236</v>
      </c>
      <c r="D105" s="6" t="s">
        <v>241</v>
      </c>
      <c r="E105">
        <v>2</v>
      </c>
      <c r="F105">
        <v>1</v>
      </c>
      <c r="G105" t="str">
        <f>A105 &amp; "-" &amp; C105 &amp; "-" &amp; D105 &amp; "-" &amp; E105 &amp; "-" &amp; F105</f>
        <v>ID_104-G-11-2-1</v>
      </c>
      <c r="H105" s="4">
        <v>0.56458333333333333</v>
      </c>
      <c r="I105" s="4">
        <v>0.57152777777777775</v>
      </c>
      <c r="J105" s="25">
        <f t="shared" si="5"/>
        <v>13.55</v>
      </c>
      <c r="K105" s="5">
        <v>25.3</v>
      </c>
      <c r="L105" s="5">
        <v>25.4</v>
      </c>
      <c r="M105" s="5">
        <f t="shared" si="6"/>
        <v>25.35</v>
      </c>
      <c r="N105">
        <v>25.8</v>
      </c>
      <c r="O105">
        <v>18.3</v>
      </c>
      <c r="P105">
        <v>25.5</v>
      </c>
      <c r="Q105">
        <f t="shared" si="7"/>
        <v>23.2</v>
      </c>
      <c r="R105" t="s">
        <v>30</v>
      </c>
      <c r="S105" t="s">
        <v>27</v>
      </c>
      <c r="T105">
        <v>3</v>
      </c>
      <c r="U105" t="s">
        <v>31</v>
      </c>
      <c r="V105" s="2" t="s">
        <v>245</v>
      </c>
      <c r="W105">
        <v>4</v>
      </c>
      <c r="X105" t="s">
        <v>28</v>
      </c>
      <c r="Y105" t="s">
        <v>28</v>
      </c>
      <c r="Z105">
        <v>0</v>
      </c>
      <c r="AA105">
        <v>0</v>
      </c>
      <c r="AB105">
        <v>0</v>
      </c>
      <c r="AC105">
        <v>0</v>
      </c>
      <c r="AD105">
        <v>0</v>
      </c>
      <c r="AE105">
        <v>0</v>
      </c>
      <c r="AF105">
        <v>0</v>
      </c>
      <c r="AG105">
        <v>1</v>
      </c>
      <c r="AH105">
        <v>1</v>
      </c>
      <c r="AI105">
        <v>1</v>
      </c>
      <c r="AJ105" t="s">
        <v>36</v>
      </c>
      <c r="AK105">
        <v>0</v>
      </c>
      <c r="AL105">
        <f t="shared" si="8"/>
        <v>3</v>
      </c>
      <c r="AM105">
        <v>3</v>
      </c>
      <c r="AN105">
        <v>0</v>
      </c>
      <c r="AO105">
        <f t="shared" si="9"/>
        <v>3</v>
      </c>
    </row>
    <row r="106" spans="1:42" x14ac:dyDescent="0.3">
      <c r="A106" t="s">
        <v>350</v>
      </c>
      <c r="B106" s="17">
        <v>45980</v>
      </c>
      <c r="C106" s="6" t="s">
        <v>236</v>
      </c>
      <c r="D106" s="6" t="s">
        <v>242</v>
      </c>
      <c r="E106">
        <v>1</v>
      </c>
      <c r="F106">
        <v>1</v>
      </c>
      <c r="G106" t="str">
        <f>A106 &amp; "-" &amp; C106 &amp; "-" &amp; D106 &amp; "-" &amp; E106 &amp; "-" &amp; F106</f>
        <v>ID_105-G-12-1-1</v>
      </c>
      <c r="H106" s="4">
        <v>0.4513888888888889</v>
      </c>
      <c r="I106" s="4">
        <v>0.45833333333333331</v>
      </c>
      <c r="J106" s="25">
        <f t="shared" si="5"/>
        <v>10.833333333333334</v>
      </c>
      <c r="K106" s="5">
        <v>23.3</v>
      </c>
      <c r="L106" s="5">
        <v>23.6</v>
      </c>
      <c r="M106" s="5">
        <f t="shared" si="6"/>
        <v>23.450000000000003</v>
      </c>
      <c r="N106">
        <v>25.8</v>
      </c>
      <c r="O106">
        <v>18.3</v>
      </c>
      <c r="P106">
        <v>25.5</v>
      </c>
      <c r="Q106">
        <f t="shared" si="7"/>
        <v>23.2</v>
      </c>
      <c r="R106" t="s">
        <v>50</v>
      </c>
      <c r="S106" t="s">
        <v>50</v>
      </c>
      <c r="T106">
        <v>1</v>
      </c>
      <c r="U106" t="s">
        <v>26</v>
      </c>
      <c r="V106" s="2" t="s">
        <v>245</v>
      </c>
      <c r="W106">
        <v>2</v>
      </c>
      <c r="X106" t="s">
        <v>28</v>
      </c>
      <c r="Y106" t="s">
        <v>28</v>
      </c>
      <c r="Z106">
        <v>1</v>
      </c>
      <c r="AA106">
        <v>0</v>
      </c>
      <c r="AB106">
        <v>0</v>
      </c>
      <c r="AC106">
        <v>1</v>
      </c>
      <c r="AD106">
        <v>0</v>
      </c>
      <c r="AE106">
        <v>0</v>
      </c>
      <c r="AF106">
        <v>0</v>
      </c>
      <c r="AG106">
        <v>1</v>
      </c>
      <c r="AH106">
        <v>1</v>
      </c>
      <c r="AI106">
        <v>1</v>
      </c>
      <c r="AJ106" t="s">
        <v>106</v>
      </c>
      <c r="AK106">
        <v>1</v>
      </c>
      <c r="AL106">
        <f t="shared" si="8"/>
        <v>6</v>
      </c>
      <c r="AM106">
        <v>1</v>
      </c>
      <c r="AN106">
        <v>0</v>
      </c>
      <c r="AO106">
        <f t="shared" si="9"/>
        <v>1</v>
      </c>
      <c r="AP106" t="s">
        <v>115</v>
      </c>
    </row>
    <row r="107" spans="1:42" x14ac:dyDescent="0.3">
      <c r="A107" t="s">
        <v>351</v>
      </c>
      <c r="B107" s="17">
        <v>45980</v>
      </c>
      <c r="C107" s="6" t="s">
        <v>236</v>
      </c>
      <c r="D107" s="6" t="s">
        <v>242</v>
      </c>
      <c r="E107">
        <v>1</v>
      </c>
      <c r="F107">
        <v>2</v>
      </c>
      <c r="G107" t="str">
        <f>A107 &amp; "-" &amp; C107 &amp; "-" &amp; D107 &amp; "-" &amp; E107 &amp; "-" &amp; F107</f>
        <v>ID_106-G-12-1-2</v>
      </c>
      <c r="H107" s="4">
        <v>0.4513888888888889</v>
      </c>
      <c r="I107" s="4">
        <v>0.46319444444444446</v>
      </c>
      <c r="J107" s="25">
        <f t="shared" si="5"/>
        <v>10.833333333333334</v>
      </c>
      <c r="K107" s="5">
        <v>23.3</v>
      </c>
      <c r="L107" s="5">
        <v>23</v>
      </c>
      <c r="M107" s="5">
        <f t="shared" si="6"/>
        <v>23.15</v>
      </c>
      <c r="N107">
        <v>25.8</v>
      </c>
      <c r="O107">
        <v>18.3</v>
      </c>
      <c r="P107">
        <v>25.5</v>
      </c>
      <c r="Q107">
        <f t="shared" si="7"/>
        <v>23.2</v>
      </c>
      <c r="R107" t="s">
        <v>50</v>
      </c>
      <c r="S107" t="s">
        <v>50</v>
      </c>
      <c r="T107">
        <v>1</v>
      </c>
      <c r="U107" t="s">
        <v>35</v>
      </c>
      <c r="V107" s="2" t="s">
        <v>245</v>
      </c>
      <c r="W107">
        <v>3</v>
      </c>
      <c r="X107" t="s">
        <v>28</v>
      </c>
      <c r="Y107" t="s">
        <v>28</v>
      </c>
      <c r="Z107">
        <v>1</v>
      </c>
      <c r="AA107">
        <v>0</v>
      </c>
      <c r="AB107">
        <v>1</v>
      </c>
      <c r="AC107">
        <v>1</v>
      </c>
      <c r="AD107">
        <v>0</v>
      </c>
      <c r="AE107">
        <v>1</v>
      </c>
      <c r="AF107">
        <v>0</v>
      </c>
      <c r="AG107">
        <v>1</v>
      </c>
      <c r="AH107">
        <v>1</v>
      </c>
      <c r="AI107">
        <v>0</v>
      </c>
      <c r="AJ107" t="s">
        <v>117</v>
      </c>
      <c r="AK107">
        <v>2</v>
      </c>
      <c r="AL107">
        <f t="shared" si="8"/>
        <v>8</v>
      </c>
      <c r="AM107">
        <v>3</v>
      </c>
      <c r="AN107">
        <v>0</v>
      </c>
      <c r="AO107">
        <f t="shared" si="9"/>
        <v>3</v>
      </c>
      <c r="AP107" t="s">
        <v>118</v>
      </c>
    </row>
    <row r="108" spans="1:42" x14ac:dyDescent="0.3">
      <c r="A108" t="s">
        <v>352</v>
      </c>
      <c r="B108" s="17">
        <v>45980</v>
      </c>
      <c r="C108" s="6" t="s">
        <v>236</v>
      </c>
      <c r="D108" s="6" t="s">
        <v>242</v>
      </c>
      <c r="E108">
        <v>2</v>
      </c>
      <c r="F108">
        <v>1</v>
      </c>
      <c r="G108" t="str">
        <f>A108 &amp; "-" &amp; C108 &amp; "-" &amp; D108 &amp; "-" &amp; E108 &amp; "-" &amp; F108</f>
        <v>ID_107-G-12-2-1</v>
      </c>
      <c r="H108" s="4">
        <v>0.55555555555555558</v>
      </c>
      <c r="I108" s="4">
        <v>0.5625</v>
      </c>
      <c r="J108" s="25">
        <f t="shared" si="5"/>
        <v>13.333333333333334</v>
      </c>
      <c r="K108" s="5">
        <v>26.4</v>
      </c>
      <c r="L108" s="5">
        <v>25.3</v>
      </c>
      <c r="M108" s="5">
        <f t="shared" si="6"/>
        <v>25.85</v>
      </c>
      <c r="N108">
        <v>25.8</v>
      </c>
      <c r="O108">
        <v>18.3</v>
      </c>
      <c r="P108">
        <v>25.5</v>
      </c>
      <c r="Q108">
        <f t="shared" si="7"/>
        <v>23.2</v>
      </c>
      <c r="R108" t="s">
        <v>30</v>
      </c>
      <c r="S108" t="s">
        <v>30</v>
      </c>
      <c r="T108">
        <v>3</v>
      </c>
      <c r="U108" t="s">
        <v>31</v>
      </c>
      <c r="V108" s="2" t="s">
        <v>245</v>
      </c>
      <c r="W108">
        <v>4</v>
      </c>
      <c r="X108" t="s">
        <v>28</v>
      </c>
      <c r="Y108" t="s">
        <v>28</v>
      </c>
      <c r="Z108">
        <v>1</v>
      </c>
      <c r="AA108">
        <v>0</v>
      </c>
      <c r="AB108">
        <v>1</v>
      </c>
      <c r="AC108">
        <v>1</v>
      </c>
      <c r="AD108">
        <v>0</v>
      </c>
      <c r="AE108">
        <v>0</v>
      </c>
      <c r="AF108">
        <v>0</v>
      </c>
      <c r="AG108">
        <v>1</v>
      </c>
      <c r="AH108">
        <v>1</v>
      </c>
      <c r="AI108">
        <v>1</v>
      </c>
      <c r="AJ108" t="s">
        <v>116</v>
      </c>
      <c r="AK108">
        <v>2</v>
      </c>
      <c r="AL108">
        <f t="shared" si="8"/>
        <v>8</v>
      </c>
      <c r="AM108">
        <v>3</v>
      </c>
      <c r="AN108">
        <v>0</v>
      </c>
      <c r="AO108">
        <f t="shared" si="9"/>
        <v>3</v>
      </c>
      <c r="AP108" t="s">
        <v>72</v>
      </c>
    </row>
    <row r="109" spans="1:42" x14ac:dyDescent="0.3">
      <c r="A109" t="s">
        <v>353</v>
      </c>
      <c r="B109" s="17">
        <v>45980</v>
      </c>
      <c r="C109" s="6" t="s">
        <v>236</v>
      </c>
      <c r="D109" s="6" t="s">
        <v>242</v>
      </c>
      <c r="E109">
        <v>3</v>
      </c>
      <c r="F109">
        <v>1</v>
      </c>
      <c r="G109" t="str">
        <f>A109 &amp; "-" &amp; C109 &amp; "-" &amp; D109 &amp; "-" &amp; E109 &amp; "-" &amp; F109</f>
        <v>ID_108-G-12-3-1</v>
      </c>
      <c r="H109" s="4">
        <v>0.55555555555555558</v>
      </c>
      <c r="I109" s="4">
        <v>0.5625</v>
      </c>
      <c r="J109" s="25">
        <f t="shared" si="5"/>
        <v>13.333333333333334</v>
      </c>
      <c r="K109" s="5">
        <v>26.4</v>
      </c>
      <c r="L109" s="5">
        <v>25.3</v>
      </c>
      <c r="M109" s="5">
        <f t="shared" si="6"/>
        <v>25.85</v>
      </c>
      <c r="N109">
        <v>25.8</v>
      </c>
      <c r="O109">
        <v>18.3</v>
      </c>
      <c r="P109">
        <v>25.5</v>
      </c>
      <c r="Q109">
        <f t="shared" si="7"/>
        <v>23.2</v>
      </c>
      <c r="R109" t="s">
        <v>30</v>
      </c>
      <c r="S109" t="s">
        <v>30</v>
      </c>
      <c r="T109">
        <v>3</v>
      </c>
      <c r="U109" t="s">
        <v>35</v>
      </c>
      <c r="V109" s="2" t="s">
        <v>245</v>
      </c>
      <c r="W109">
        <v>3</v>
      </c>
      <c r="X109" t="s">
        <v>28</v>
      </c>
      <c r="Y109" t="s">
        <v>28</v>
      </c>
      <c r="Z109">
        <v>1</v>
      </c>
      <c r="AA109">
        <v>0</v>
      </c>
      <c r="AB109">
        <v>0</v>
      </c>
      <c r="AC109">
        <v>1</v>
      </c>
      <c r="AD109">
        <v>0</v>
      </c>
      <c r="AE109">
        <v>0</v>
      </c>
      <c r="AF109">
        <v>0</v>
      </c>
      <c r="AG109">
        <v>0</v>
      </c>
      <c r="AH109">
        <v>0</v>
      </c>
      <c r="AI109">
        <v>1</v>
      </c>
      <c r="AJ109" t="s">
        <v>119</v>
      </c>
      <c r="AK109">
        <v>2</v>
      </c>
      <c r="AL109">
        <f t="shared" si="8"/>
        <v>5</v>
      </c>
      <c r="AM109">
        <v>0</v>
      </c>
      <c r="AN109">
        <v>0</v>
      </c>
      <c r="AO109">
        <f t="shared" si="9"/>
        <v>0</v>
      </c>
    </row>
    <row r="110" spans="1:42" x14ac:dyDescent="0.3">
      <c r="A110" t="s">
        <v>354</v>
      </c>
      <c r="B110" s="19">
        <v>45981</v>
      </c>
      <c r="C110" s="6" t="s">
        <v>238</v>
      </c>
      <c r="D110" s="6">
        <v>2</v>
      </c>
      <c r="E110">
        <v>1</v>
      </c>
      <c r="F110">
        <v>1</v>
      </c>
      <c r="G110" t="str">
        <f>A110 &amp; "-" &amp; C110 &amp; "-" &amp; D110 &amp; "-" &amp; E110 &amp; "-" &amp; F110</f>
        <v>ID_109-M-2-1-1</v>
      </c>
      <c r="H110" s="4">
        <v>0.46527777777777779</v>
      </c>
      <c r="I110" s="4">
        <v>0.47222222222222221</v>
      </c>
      <c r="J110" s="25">
        <f t="shared" si="5"/>
        <v>11.166666666666666</v>
      </c>
      <c r="K110" s="5">
        <v>24.6</v>
      </c>
      <c r="L110" s="5">
        <v>25.9</v>
      </c>
      <c r="M110" s="5">
        <f t="shared" si="6"/>
        <v>25.25</v>
      </c>
      <c r="N110">
        <v>18.3</v>
      </c>
      <c r="O110">
        <v>25.5</v>
      </c>
      <c r="P110">
        <v>29.4</v>
      </c>
      <c r="Q110">
        <f t="shared" si="7"/>
        <v>24.399999999999995</v>
      </c>
      <c r="R110" t="s">
        <v>50</v>
      </c>
      <c r="S110" t="s">
        <v>50</v>
      </c>
      <c r="T110">
        <v>1</v>
      </c>
      <c r="U110" t="s">
        <v>37</v>
      </c>
      <c r="V110" s="2" t="s">
        <v>245</v>
      </c>
      <c r="W110">
        <v>1</v>
      </c>
      <c r="X110" t="s">
        <v>28</v>
      </c>
      <c r="Y110" t="s">
        <v>28</v>
      </c>
      <c r="Z110">
        <v>1</v>
      </c>
      <c r="AA110">
        <v>1</v>
      </c>
      <c r="AB110">
        <v>1</v>
      </c>
      <c r="AC110">
        <v>1</v>
      </c>
      <c r="AD110">
        <v>0</v>
      </c>
      <c r="AE110">
        <v>0</v>
      </c>
      <c r="AF110">
        <v>0</v>
      </c>
      <c r="AG110">
        <v>1</v>
      </c>
      <c r="AH110">
        <v>1</v>
      </c>
      <c r="AI110">
        <v>1</v>
      </c>
      <c r="AJ110" t="s">
        <v>106</v>
      </c>
      <c r="AK110">
        <v>1</v>
      </c>
      <c r="AL110">
        <f t="shared" si="8"/>
        <v>8</v>
      </c>
      <c r="AM110">
        <v>0</v>
      </c>
      <c r="AN110">
        <v>0</v>
      </c>
      <c r="AO110">
        <f t="shared" si="9"/>
        <v>0</v>
      </c>
      <c r="AP110" t="s">
        <v>72</v>
      </c>
    </row>
    <row r="111" spans="1:42" x14ac:dyDescent="0.3">
      <c r="A111" t="s">
        <v>355</v>
      </c>
      <c r="B111" s="17">
        <v>45981</v>
      </c>
      <c r="C111" s="6" t="s">
        <v>238</v>
      </c>
      <c r="D111" s="6">
        <v>2</v>
      </c>
      <c r="E111">
        <v>1</v>
      </c>
      <c r="F111">
        <v>1</v>
      </c>
      <c r="G111" t="str">
        <f>A111 &amp; "-" &amp; C111 &amp; "-" &amp; D111 &amp; "-" &amp; E111 &amp; "-" &amp; F111</f>
        <v>ID_110-M-2-1-1</v>
      </c>
      <c r="H111" s="4">
        <v>0.46527777777777779</v>
      </c>
      <c r="I111" s="4">
        <v>0.47222222222222221</v>
      </c>
      <c r="J111" s="25">
        <f t="shared" si="5"/>
        <v>11.166666666666666</v>
      </c>
      <c r="K111" s="5">
        <v>24.6</v>
      </c>
      <c r="L111" s="5">
        <v>25.9</v>
      </c>
      <c r="M111" s="5">
        <f t="shared" si="6"/>
        <v>25.25</v>
      </c>
      <c r="N111">
        <v>18.3</v>
      </c>
      <c r="O111">
        <v>25.5</v>
      </c>
      <c r="P111">
        <v>29.4</v>
      </c>
      <c r="Q111">
        <f t="shared" si="7"/>
        <v>24.399999999999995</v>
      </c>
      <c r="R111" t="s">
        <v>50</v>
      </c>
      <c r="S111" t="s">
        <v>50</v>
      </c>
      <c r="T111">
        <v>1</v>
      </c>
      <c r="U111" t="s">
        <v>26</v>
      </c>
      <c r="V111" s="2" t="s">
        <v>245</v>
      </c>
      <c r="W111">
        <v>2</v>
      </c>
      <c r="X111" t="s">
        <v>28</v>
      </c>
      <c r="Y111" t="s">
        <v>28</v>
      </c>
      <c r="Z111">
        <v>1</v>
      </c>
      <c r="AA111">
        <v>0</v>
      </c>
      <c r="AB111">
        <v>1</v>
      </c>
      <c r="AC111">
        <v>0</v>
      </c>
      <c r="AD111">
        <v>0</v>
      </c>
      <c r="AE111">
        <v>1</v>
      </c>
      <c r="AF111">
        <v>0</v>
      </c>
      <c r="AG111">
        <v>1</v>
      </c>
      <c r="AH111">
        <v>1</v>
      </c>
      <c r="AI111">
        <v>1</v>
      </c>
      <c r="AJ111" t="s">
        <v>112</v>
      </c>
      <c r="AK111">
        <v>4</v>
      </c>
      <c r="AL111">
        <f t="shared" si="8"/>
        <v>10</v>
      </c>
      <c r="AM111">
        <v>2</v>
      </c>
      <c r="AN111">
        <v>0</v>
      </c>
      <c r="AO111">
        <f t="shared" si="9"/>
        <v>2</v>
      </c>
      <c r="AP111" t="s">
        <v>72</v>
      </c>
    </row>
    <row r="112" spans="1:42" x14ac:dyDescent="0.3">
      <c r="A112" t="s">
        <v>356</v>
      </c>
      <c r="B112" s="17">
        <v>45981</v>
      </c>
      <c r="C112" s="6" t="s">
        <v>238</v>
      </c>
      <c r="D112" s="6">
        <v>3</v>
      </c>
      <c r="E112">
        <v>1</v>
      </c>
      <c r="F112">
        <v>1</v>
      </c>
      <c r="G112" t="str">
        <f>A112 &amp; "-" &amp; C112 &amp; "-" &amp; D112 &amp; "-" &amp; E112 &amp; "-" &amp; F112</f>
        <v>ID_111-M-3-1-1</v>
      </c>
      <c r="H112" s="4">
        <v>0.5395833333333333</v>
      </c>
      <c r="I112" s="4">
        <v>0.54722222222222228</v>
      </c>
      <c r="J112" s="25">
        <f t="shared" si="5"/>
        <v>12.95</v>
      </c>
      <c r="K112" s="5">
        <v>27.7</v>
      </c>
      <c r="L112" s="5">
        <v>28</v>
      </c>
      <c r="M112" s="5">
        <f t="shared" si="6"/>
        <v>27.85</v>
      </c>
      <c r="N112">
        <v>18.3</v>
      </c>
      <c r="O112">
        <v>25.5</v>
      </c>
      <c r="P112">
        <v>29.4</v>
      </c>
      <c r="Q112">
        <f t="shared" si="7"/>
        <v>24.399999999999995</v>
      </c>
      <c r="R112" t="s">
        <v>30</v>
      </c>
      <c r="S112" t="s">
        <v>50</v>
      </c>
      <c r="T112">
        <v>3</v>
      </c>
      <c r="U112" t="s">
        <v>37</v>
      </c>
      <c r="V112" s="2" t="s">
        <v>245</v>
      </c>
      <c r="W112">
        <v>1</v>
      </c>
      <c r="X112" t="s">
        <v>28</v>
      </c>
      <c r="Y112" t="s">
        <v>28</v>
      </c>
      <c r="Z112">
        <v>1</v>
      </c>
      <c r="AA112">
        <v>0</v>
      </c>
      <c r="AB112">
        <v>1</v>
      </c>
      <c r="AC112">
        <v>1</v>
      </c>
      <c r="AD112">
        <v>1</v>
      </c>
      <c r="AE112">
        <v>1</v>
      </c>
      <c r="AF112">
        <v>0</v>
      </c>
      <c r="AG112">
        <v>1</v>
      </c>
      <c r="AH112">
        <v>1</v>
      </c>
      <c r="AI112">
        <v>1</v>
      </c>
      <c r="AJ112" t="s">
        <v>107</v>
      </c>
      <c r="AK112">
        <v>3</v>
      </c>
      <c r="AL112">
        <f t="shared" si="8"/>
        <v>11</v>
      </c>
      <c r="AM112">
        <v>0</v>
      </c>
      <c r="AN112">
        <v>0</v>
      </c>
      <c r="AO112">
        <f t="shared" si="9"/>
        <v>0</v>
      </c>
    </row>
    <row r="113" spans="1:44" x14ac:dyDescent="0.3">
      <c r="A113" t="s">
        <v>357</v>
      </c>
      <c r="B113" s="17">
        <v>45981</v>
      </c>
      <c r="C113" s="6" t="s">
        <v>238</v>
      </c>
      <c r="D113" s="6">
        <v>3</v>
      </c>
      <c r="E113">
        <v>1</v>
      </c>
      <c r="F113">
        <v>1</v>
      </c>
      <c r="G113" t="str">
        <f>A113 &amp; "-" &amp; C113 &amp; "-" &amp; D113 &amp; "-" &amp; E113 &amp; "-" &amp; F113</f>
        <v>ID_112-M-3-1-1</v>
      </c>
      <c r="H113" s="4">
        <v>0.5395833333333333</v>
      </c>
      <c r="I113" s="4">
        <v>0.54722222222222228</v>
      </c>
      <c r="J113" s="25">
        <f t="shared" si="5"/>
        <v>12.95</v>
      </c>
      <c r="K113" s="5">
        <v>27.7</v>
      </c>
      <c r="L113" s="5">
        <v>28</v>
      </c>
      <c r="M113" s="5">
        <f t="shared" si="6"/>
        <v>27.85</v>
      </c>
      <c r="N113">
        <v>18.3</v>
      </c>
      <c r="O113">
        <v>25.5</v>
      </c>
      <c r="P113">
        <v>29.4</v>
      </c>
      <c r="Q113">
        <f t="shared" si="7"/>
        <v>24.399999999999995</v>
      </c>
      <c r="R113" t="s">
        <v>30</v>
      </c>
      <c r="S113" t="s">
        <v>50</v>
      </c>
      <c r="T113">
        <v>3</v>
      </c>
      <c r="U113" t="s">
        <v>26</v>
      </c>
      <c r="V113" s="2" t="s">
        <v>245</v>
      </c>
      <c r="W113">
        <v>2</v>
      </c>
      <c r="X113" t="s">
        <v>28</v>
      </c>
      <c r="Y113" t="s">
        <v>28</v>
      </c>
      <c r="Z113">
        <v>1</v>
      </c>
      <c r="AA113">
        <v>0</v>
      </c>
      <c r="AB113">
        <v>1</v>
      </c>
      <c r="AC113">
        <v>1</v>
      </c>
      <c r="AD113">
        <v>0</v>
      </c>
      <c r="AE113">
        <v>0</v>
      </c>
      <c r="AF113">
        <v>0</v>
      </c>
      <c r="AG113">
        <v>1</v>
      </c>
      <c r="AH113">
        <v>1</v>
      </c>
      <c r="AI113">
        <v>1</v>
      </c>
      <c r="AJ113" t="s">
        <v>113</v>
      </c>
      <c r="AK113">
        <v>2</v>
      </c>
      <c r="AL113">
        <f t="shared" si="8"/>
        <v>8</v>
      </c>
      <c r="AM113">
        <v>2</v>
      </c>
      <c r="AN113">
        <v>0</v>
      </c>
      <c r="AO113">
        <f t="shared" si="9"/>
        <v>2</v>
      </c>
    </row>
    <row r="114" spans="1:44" x14ac:dyDescent="0.3">
      <c r="A114" t="s">
        <v>358</v>
      </c>
      <c r="B114" s="17">
        <v>45981</v>
      </c>
      <c r="C114" s="6" t="s">
        <v>238</v>
      </c>
      <c r="D114" s="6">
        <v>3</v>
      </c>
      <c r="E114">
        <v>2</v>
      </c>
      <c r="F114">
        <v>1</v>
      </c>
      <c r="G114" t="str">
        <f>A114 &amp; "-" &amp; C114 &amp; "-" &amp; D114 &amp; "-" &amp; E114 &amp; "-" &amp; F114</f>
        <v>ID_113-M-3-2-1</v>
      </c>
      <c r="H114" s="4">
        <v>0.54861111111111116</v>
      </c>
      <c r="I114" s="4">
        <v>0.55555555555555558</v>
      </c>
      <c r="J114" s="25">
        <f t="shared" si="5"/>
        <v>13.166666666666666</v>
      </c>
      <c r="K114" s="5">
        <v>28</v>
      </c>
      <c r="L114" s="5">
        <v>27.7</v>
      </c>
      <c r="M114" s="5">
        <f t="shared" si="6"/>
        <v>27.85</v>
      </c>
      <c r="N114">
        <v>18.3</v>
      </c>
      <c r="O114">
        <v>25.5</v>
      </c>
      <c r="P114">
        <v>29.4</v>
      </c>
      <c r="Q114">
        <f t="shared" si="7"/>
        <v>24.399999999999995</v>
      </c>
      <c r="R114" t="s">
        <v>50</v>
      </c>
      <c r="S114" t="s">
        <v>32</v>
      </c>
      <c r="T114">
        <v>1</v>
      </c>
      <c r="U114" t="s">
        <v>26</v>
      </c>
      <c r="V114" s="2" t="s">
        <v>245</v>
      </c>
      <c r="W114">
        <v>2</v>
      </c>
      <c r="X114" t="s">
        <v>28</v>
      </c>
      <c r="Y114" t="s">
        <v>28</v>
      </c>
      <c r="Z114">
        <v>1</v>
      </c>
      <c r="AA114">
        <v>0</v>
      </c>
      <c r="AB114">
        <v>1</v>
      </c>
      <c r="AC114">
        <v>1</v>
      </c>
      <c r="AD114">
        <v>0</v>
      </c>
      <c r="AE114">
        <v>1</v>
      </c>
      <c r="AF114">
        <v>0</v>
      </c>
      <c r="AG114">
        <v>1</v>
      </c>
      <c r="AH114">
        <v>1</v>
      </c>
      <c r="AI114">
        <v>1</v>
      </c>
      <c r="AJ114" t="s">
        <v>73</v>
      </c>
      <c r="AK114">
        <v>1</v>
      </c>
      <c r="AL114">
        <f t="shared" si="8"/>
        <v>8</v>
      </c>
      <c r="AM114">
        <v>1</v>
      </c>
      <c r="AN114">
        <v>0</v>
      </c>
      <c r="AO114">
        <f t="shared" si="9"/>
        <v>1</v>
      </c>
    </row>
    <row r="115" spans="1:44" x14ac:dyDescent="0.3">
      <c r="A115" t="s">
        <v>361</v>
      </c>
      <c r="B115" s="17">
        <v>45981</v>
      </c>
      <c r="C115" s="6" t="s">
        <v>238</v>
      </c>
      <c r="D115" s="6">
        <v>3</v>
      </c>
      <c r="E115">
        <v>3</v>
      </c>
      <c r="F115">
        <v>1</v>
      </c>
      <c r="G115" t="str">
        <f>A115 &amp; "-" &amp; C115 &amp; "-" &amp; D115 &amp; "-" &amp; E115 &amp; "-" &amp; F115</f>
        <v>ID_116-M-3-3-1</v>
      </c>
      <c r="H115" s="4">
        <v>0.55763888888888891</v>
      </c>
      <c r="I115" s="4">
        <v>0.56527777777777777</v>
      </c>
      <c r="J115" s="25">
        <f t="shared" si="5"/>
        <v>13.383333333333333</v>
      </c>
      <c r="K115" s="5">
        <v>27.7</v>
      </c>
      <c r="L115" s="5">
        <v>28.3</v>
      </c>
      <c r="M115" s="5">
        <f t="shared" si="6"/>
        <v>28</v>
      </c>
      <c r="N115">
        <v>18.3</v>
      </c>
      <c r="O115">
        <v>25.5</v>
      </c>
      <c r="P115">
        <v>29.4</v>
      </c>
      <c r="Q115">
        <f t="shared" si="7"/>
        <v>24.399999999999995</v>
      </c>
      <c r="R115" t="s">
        <v>32</v>
      </c>
      <c r="S115" t="s">
        <v>50</v>
      </c>
      <c r="T115">
        <v>2</v>
      </c>
      <c r="U115" t="s">
        <v>31</v>
      </c>
      <c r="V115" s="2" t="s">
        <v>245</v>
      </c>
      <c r="W115">
        <v>4</v>
      </c>
      <c r="X115" t="s">
        <v>28</v>
      </c>
      <c r="Y115" t="s">
        <v>28</v>
      </c>
      <c r="Z115">
        <v>1</v>
      </c>
      <c r="AA115">
        <v>0</v>
      </c>
      <c r="AB115">
        <v>0</v>
      </c>
      <c r="AC115">
        <v>1</v>
      </c>
      <c r="AD115">
        <v>0</v>
      </c>
      <c r="AE115">
        <v>0</v>
      </c>
      <c r="AF115">
        <v>0</v>
      </c>
      <c r="AG115">
        <v>1</v>
      </c>
      <c r="AH115">
        <v>1</v>
      </c>
      <c r="AI115">
        <v>1</v>
      </c>
      <c r="AJ115" t="s">
        <v>91</v>
      </c>
      <c r="AK115">
        <v>2</v>
      </c>
      <c r="AL115">
        <f t="shared" si="8"/>
        <v>7</v>
      </c>
      <c r="AM115">
        <v>0</v>
      </c>
      <c r="AN115">
        <v>0</v>
      </c>
      <c r="AO115">
        <f t="shared" si="9"/>
        <v>0</v>
      </c>
    </row>
    <row r="116" spans="1:44" x14ac:dyDescent="0.3">
      <c r="A116" t="s">
        <v>362</v>
      </c>
      <c r="B116" s="17">
        <v>45981</v>
      </c>
      <c r="C116" s="6" t="s">
        <v>238</v>
      </c>
      <c r="D116" s="6">
        <v>3</v>
      </c>
      <c r="E116">
        <v>3</v>
      </c>
      <c r="F116">
        <v>1</v>
      </c>
      <c r="G116" t="str">
        <f>A116 &amp; "-" &amp; C116 &amp; "-" &amp; D116 &amp; "-" &amp; E116 &amp; "-" &amp; F116</f>
        <v>ID_117-M-3-3-1</v>
      </c>
      <c r="H116" s="4">
        <v>0.55763888888888891</v>
      </c>
      <c r="I116" s="4">
        <v>0.56458333333333333</v>
      </c>
      <c r="J116" s="25">
        <f t="shared" si="5"/>
        <v>13.383333333333333</v>
      </c>
      <c r="K116" s="5">
        <v>27.7</v>
      </c>
      <c r="L116" s="5">
        <v>28.3</v>
      </c>
      <c r="M116" s="5">
        <f t="shared" si="6"/>
        <v>28</v>
      </c>
      <c r="N116">
        <v>18.3</v>
      </c>
      <c r="O116">
        <v>25.5</v>
      </c>
      <c r="P116">
        <v>29.4</v>
      </c>
      <c r="Q116">
        <f t="shared" si="7"/>
        <v>24.399999999999995</v>
      </c>
      <c r="R116" t="s">
        <v>32</v>
      </c>
      <c r="S116" t="s">
        <v>50</v>
      </c>
      <c r="T116">
        <v>2</v>
      </c>
      <c r="U116" t="s">
        <v>35</v>
      </c>
      <c r="V116" s="2" t="s">
        <v>245</v>
      </c>
      <c r="W116">
        <v>3</v>
      </c>
      <c r="X116" t="s">
        <v>28</v>
      </c>
      <c r="Y116" t="s">
        <v>28</v>
      </c>
      <c r="Z116">
        <v>1</v>
      </c>
      <c r="AA116">
        <v>0</v>
      </c>
      <c r="AB116">
        <v>1</v>
      </c>
      <c r="AC116">
        <v>1</v>
      </c>
      <c r="AD116">
        <v>0</v>
      </c>
      <c r="AE116">
        <v>1</v>
      </c>
      <c r="AF116">
        <v>0</v>
      </c>
      <c r="AG116">
        <v>1</v>
      </c>
      <c r="AH116">
        <v>1</v>
      </c>
      <c r="AI116">
        <v>1</v>
      </c>
      <c r="AJ116" t="s">
        <v>210</v>
      </c>
      <c r="AK116">
        <v>2</v>
      </c>
      <c r="AL116">
        <f t="shared" si="8"/>
        <v>9</v>
      </c>
      <c r="AM116">
        <v>0</v>
      </c>
      <c r="AN116">
        <v>0</v>
      </c>
      <c r="AO116">
        <f t="shared" si="9"/>
        <v>0</v>
      </c>
      <c r="AP116" t="s">
        <v>72</v>
      </c>
    </row>
    <row r="117" spans="1:44" x14ac:dyDescent="0.3">
      <c r="A117" t="s">
        <v>363</v>
      </c>
      <c r="B117" s="17">
        <v>45986</v>
      </c>
      <c r="C117" s="6" t="s">
        <v>236</v>
      </c>
      <c r="D117" s="6" t="s">
        <v>241</v>
      </c>
      <c r="E117">
        <v>2</v>
      </c>
      <c r="F117">
        <v>1</v>
      </c>
      <c r="G117" t="str">
        <f>A117 &amp; "-" &amp; C117 &amp; "-" &amp; D117 &amp; "-" &amp; E117 &amp; "-" &amp; F117</f>
        <v>ID_118-G-11-2-1</v>
      </c>
      <c r="H117" s="4">
        <v>0.46319444444444446</v>
      </c>
      <c r="I117" s="4">
        <v>0.47291666666666665</v>
      </c>
      <c r="J117" s="25">
        <f t="shared" si="5"/>
        <v>11.116666666666667</v>
      </c>
      <c r="K117" s="5">
        <v>29.1</v>
      </c>
      <c r="L117" s="5">
        <v>29.8</v>
      </c>
      <c r="M117" s="5">
        <f t="shared" si="6"/>
        <v>29.450000000000003</v>
      </c>
      <c r="N117">
        <v>17.600000000000001</v>
      </c>
      <c r="O117">
        <v>27.4</v>
      </c>
      <c r="P117">
        <v>28.4</v>
      </c>
      <c r="Q117">
        <f t="shared" si="7"/>
        <v>24.466666666666669</v>
      </c>
      <c r="R117" t="s">
        <v>56</v>
      </c>
      <c r="S117" t="s">
        <v>56</v>
      </c>
      <c r="T117">
        <v>0</v>
      </c>
      <c r="U117" t="s">
        <v>35</v>
      </c>
      <c r="V117" s="2" t="s">
        <v>245</v>
      </c>
      <c r="W117">
        <v>3</v>
      </c>
      <c r="X117" t="s">
        <v>28</v>
      </c>
      <c r="Y117" t="s">
        <v>28</v>
      </c>
      <c r="Z117">
        <v>1</v>
      </c>
      <c r="AA117">
        <v>0</v>
      </c>
      <c r="AB117">
        <v>0</v>
      </c>
      <c r="AC117">
        <v>1</v>
      </c>
      <c r="AD117">
        <v>0</v>
      </c>
      <c r="AE117">
        <v>1</v>
      </c>
      <c r="AF117">
        <v>0</v>
      </c>
      <c r="AG117">
        <v>1</v>
      </c>
      <c r="AH117">
        <v>1</v>
      </c>
      <c r="AI117">
        <v>1</v>
      </c>
      <c r="AJ117" t="s">
        <v>36</v>
      </c>
      <c r="AK117">
        <v>0</v>
      </c>
      <c r="AL117">
        <f t="shared" si="8"/>
        <v>6</v>
      </c>
      <c r="AM117">
        <v>3</v>
      </c>
      <c r="AN117">
        <v>0</v>
      </c>
      <c r="AO117">
        <f t="shared" si="9"/>
        <v>3</v>
      </c>
    </row>
    <row r="118" spans="1:44" x14ac:dyDescent="0.3">
      <c r="A118" t="s">
        <v>364</v>
      </c>
      <c r="B118" s="17">
        <v>45986</v>
      </c>
      <c r="C118" s="6" t="s">
        <v>236</v>
      </c>
      <c r="D118" s="6" t="s">
        <v>241</v>
      </c>
      <c r="E118">
        <v>2</v>
      </c>
      <c r="F118">
        <v>1</v>
      </c>
      <c r="G118" t="str">
        <f>A118 &amp; "-" &amp; C118 &amp; "-" &amp; D118 &amp; "-" &amp; E118 &amp; "-" &amp; F118</f>
        <v>ID_119-G-11-2-1</v>
      </c>
      <c r="H118" s="4">
        <v>0.46527777777777779</v>
      </c>
      <c r="I118" s="4">
        <v>0.47222222222222221</v>
      </c>
      <c r="J118" s="25">
        <f t="shared" si="5"/>
        <v>11.166666666666666</v>
      </c>
      <c r="K118" s="5">
        <v>29.1</v>
      </c>
      <c r="L118" s="5">
        <v>29.8</v>
      </c>
      <c r="M118" s="5">
        <f t="shared" si="6"/>
        <v>29.450000000000003</v>
      </c>
      <c r="N118">
        <v>17.600000000000001</v>
      </c>
      <c r="O118">
        <v>27.4</v>
      </c>
      <c r="P118">
        <v>28.4</v>
      </c>
      <c r="Q118">
        <f t="shared" si="7"/>
        <v>24.466666666666669</v>
      </c>
      <c r="R118" t="s">
        <v>56</v>
      </c>
      <c r="S118" t="s">
        <v>56</v>
      </c>
      <c r="T118">
        <v>0</v>
      </c>
      <c r="U118" t="s">
        <v>35</v>
      </c>
      <c r="V118" s="2" t="s">
        <v>245</v>
      </c>
      <c r="W118">
        <v>3</v>
      </c>
      <c r="X118" t="s">
        <v>28</v>
      </c>
      <c r="Y118" t="s">
        <v>28</v>
      </c>
      <c r="Z118">
        <v>1</v>
      </c>
      <c r="AA118">
        <v>1</v>
      </c>
      <c r="AB118">
        <v>1</v>
      </c>
      <c r="AC118">
        <v>0</v>
      </c>
      <c r="AD118">
        <v>0</v>
      </c>
      <c r="AE118">
        <v>1</v>
      </c>
      <c r="AF118">
        <v>0</v>
      </c>
      <c r="AG118">
        <v>1</v>
      </c>
      <c r="AH118">
        <v>1</v>
      </c>
      <c r="AI118">
        <v>1</v>
      </c>
      <c r="AJ118" t="s">
        <v>36</v>
      </c>
      <c r="AK118">
        <v>0</v>
      </c>
      <c r="AL118">
        <f t="shared" si="8"/>
        <v>7</v>
      </c>
      <c r="AM118">
        <v>5</v>
      </c>
      <c r="AN118">
        <v>0</v>
      </c>
      <c r="AO118">
        <f t="shared" si="9"/>
        <v>5</v>
      </c>
    </row>
    <row r="119" spans="1:44" x14ac:dyDescent="0.3">
      <c r="A119" t="s">
        <v>366</v>
      </c>
      <c r="B119" s="17">
        <v>45986</v>
      </c>
      <c r="C119" s="6" t="s">
        <v>236</v>
      </c>
      <c r="D119" s="6" t="s">
        <v>241</v>
      </c>
      <c r="E119">
        <v>3</v>
      </c>
      <c r="F119">
        <v>1</v>
      </c>
      <c r="G119" t="str">
        <f>A119 &amp; "-" &amp; C119 &amp; "-" &amp; D119 &amp; "-" &amp; E119 &amp; "-" &amp; F119</f>
        <v>ID_121-G-11-3-1</v>
      </c>
      <c r="H119" s="4">
        <v>0.47638888888888886</v>
      </c>
      <c r="I119" s="4">
        <v>0.48402777777777778</v>
      </c>
      <c r="J119" s="25">
        <f t="shared" si="5"/>
        <v>11.433333333333334</v>
      </c>
      <c r="K119" s="5">
        <v>29.8</v>
      </c>
      <c r="L119" s="5">
        <v>30.1</v>
      </c>
      <c r="M119" s="5">
        <f t="shared" si="6"/>
        <v>29.950000000000003</v>
      </c>
      <c r="N119">
        <v>17.600000000000001</v>
      </c>
      <c r="O119">
        <v>27.4</v>
      </c>
      <c r="P119">
        <v>28.4</v>
      </c>
      <c r="Q119">
        <f t="shared" si="7"/>
        <v>24.466666666666669</v>
      </c>
      <c r="R119" t="s">
        <v>56</v>
      </c>
      <c r="S119" t="s">
        <v>50</v>
      </c>
      <c r="T119">
        <v>0</v>
      </c>
      <c r="U119" t="s">
        <v>35</v>
      </c>
      <c r="V119" s="2" t="s">
        <v>245</v>
      </c>
      <c r="W119">
        <v>3</v>
      </c>
      <c r="X119" t="s">
        <v>28</v>
      </c>
      <c r="Y119" t="s">
        <v>28</v>
      </c>
      <c r="Z119">
        <v>0</v>
      </c>
      <c r="AA119">
        <v>0</v>
      </c>
      <c r="AB119">
        <v>0</v>
      </c>
      <c r="AC119">
        <v>1</v>
      </c>
      <c r="AD119">
        <v>0</v>
      </c>
      <c r="AE119">
        <v>0</v>
      </c>
      <c r="AF119">
        <v>0</v>
      </c>
      <c r="AG119">
        <v>1</v>
      </c>
      <c r="AH119">
        <v>1</v>
      </c>
      <c r="AI119">
        <v>0</v>
      </c>
      <c r="AJ119" t="s">
        <v>211</v>
      </c>
      <c r="AK119">
        <v>1</v>
      </c>
      <c r="AL119">
        <f t="shared" si="8"/>
        <v>4</v>
      </c>
      <c r="AM119">
        <v>9</v>
      </c>
      <c r="AN119">
        <v>0</v>
      </c>
      <c r="AO119">
        <f t="shared" si="9"/>
        <v>9</v>
      </c>
      <c r="AP119" s="9" t="s">
        <v>229</v>
      </c>
      <c r="AQ119" t="s">
        <v>111</v>
      </c>
      <c r="AR119" t="s">
        <v>232</v>
      </c>
    </row>
    <row r="120" spans="1:44" x14ac:dyDescent="0.3">
      <c r="A120" t="s">
        <v>367</v>
      </c>
      <c r="B120" s="17">
        <v>45988</v>
      </c>
      <c r="C120" s="6" t="s">
        <v>236</v>
      </c>
      <c r="D120" s="6" t="s">
        <v>241</v>
      </c>
      <c r="E120">
        <v>2</v>
      </c>
      <c r="F120">
        <v>1</v>
      </c>
      <c r="G120" t="str">
        <f>A120 &amp; "-" &amp; C120 &amp; "-" &amp; D120 &amp; "-" &amp; E120 &amp; "-" &amp; F120</f>
        <v>ID_122-G-11-2-1</v>
      </c>
      <c r="H120" s="4">
        <v>0.62986111111111109</v>
      </c>
      <c r="I120" s="4">
        <v>0.64236111111111116</v>
      </c>
      <c r="J120" s="25">
        <f t="shared" si="5"/>
        <v>15.116666666666667</v>
      </c>
      <c r="K120" s="5">
        <v>23.6</v>
      </c>
      <c r="L120" s="5">
        <v>23.8</v>
      </c>
      <c r="M120" s="5">
        <f t="shared" si="6"/>
        <v>23.700000000000003</v>
      </c>
      <c r="N120">
        <v>28.4</v>
      </c>
      <c r="O120">
        <v>31.1</v>
      </c>
      <c r="P120">
        <v>27</v>
      </c>
      <c r="Q120">
        <f t="shared" si="7"/>
        <v>28.833333333333332</v>
      </c>
      <c r="R120" t="s">
        <v>56</v>
      </c>
      <c r="S120" t="s">
        <v>56</v>
      </c>
      <c r="T120">
        <v>0</v>
      </c>
      <c r="U120" t="s">
        <v>31</v>
      </c>
      <c r="V120" s="2" t="s">
        <v>245</v>
      </c>
      <c r="W120">
        <v>4</v>
      </c>
      <c r="X120" t="s">
        <v>28</v>
      </c>
      <c r="Y120" t="s">
        <v>28</v>
      </c>
      <c r="Z120">
        <v>1</v>
      </c>
      <c r="AA120">
        <v>0</v>
      </c>
      <c r="AB120">
        <v>1</v>
      </c>
      <c r="AC120">
        <v>1</v>
      </c>
      <c r="AD120">
        <v>0</v>
      </c>
      <c r="AE120">
        <v>0</v>
      </c>
      <c r="AF120">
        <v>0</v>
      </c>
      <c r="AG120">
        <v>1</v>
      </c>
      <c r="AH120">
        <v>1</v>
      </c>
      <c r="AI120">
        <v>1</v>
      </c>
      <c r="AJ120" t="s">
        <v>36</v>
      </c>
      <c r="AK120">
        <v>0</v>
      </c>
      <c r="AL120">
        <f t="shared" si="8"/>
        <v>6</v>
      </c>
      <c r="AM120">
        <v>2</v>
      </c>
      <c r="AN120">
        <v>1</v>
      </c>
      <c r="AO120">
        <f t="shared" si="9"/>
        <v>3</v>
      </c>
      <c r="AP120" t="s">
        <v>94</v>
      </c>
    </row>
    <row r="121" spans="1:44" x14ac:dyDescent="0.3">
      <c r="A121" t="s">
        <v>368</v>
      </c>
      <c r="B121" s="17">
        <v>45989</v>
      </c>
      <c r="C121" s="6" t="s">
        <v>236</v>
      </c>
      <c r="D121" s="6" t="s">
        <v>242</v>
      </c>
      <c r="E121">
        <v>1</v>
      </c>
      <c r="F121">
        <v>1</v>
      </c>
      <c r="G121" t="str">
        <f>A121 &amp; "-" &amp; C121 &amp; "-" &amp; D121 &amp; "-" &amp; E121 &amp; "-" &amp; F121</f>
        <v>ID_123-G-12-1-1</v>
      </c>
      <c r="H121" s="4">
        <v>0.47569444444444442</v>
      </c>
      <c r="I121" s="4">
        <v>0.4826388888888889</v>
      </c>
      <c r="J121" s="25">
        <f t="shared" si="5"/>
        <v>11.416666666666666</v>
      </c>
      <c r="K121" s="5">
        <v>23</v>
      </c>
      <c r="L121" s="5">
        <v>23</v>
      </c>
      <c r="M121" s="5">
        <f t="shared" si="6"/>
        <v>23</v>
      </c>
      <c r="N121">
        <v>31.1</v>
      </c>
      <c r="O121">
        <v>27</v>
      </c>
      <c r="P121">
        <v>24.9</v>
      </c>
      <c r="Q121">
        <f t="shared" si="7"/>
        <v>27.666666666666668</v>
      </c>
      <c r="R121" t="s">
        <v>30</v>
      </c>
      <c r="S121" t="s">
        <v>50</v>
      </c>
      <c r="T121">
        <v>3</v>
      </c>
      <c r="U121" t="s">
        <v>31</v>
      </c>
      <c r="V121" s="2" t="s">
        <v>245</v>
      </c>
      <c r="W121">
        <v>4</v>
      </c>
      <c r="X121" t="s">
        <v>28</v>
      </c>
      <c r="Y121" t="s">
        <v>28</v>
      </c>
      <c r="Z121">
        <v>1</v>
      </c>
      <c r="AA121">
        <v>0</v>
      </c>
      <c r="AB121">
        <v>0</v>
      </c>
      <c r="AC121">
        <v>1</v>
      </c>
      <c r="AD121">
        <v>0</v>
      </c>
      <c r="AE121">
        <v>1</v>
      </c>
      <c r="AF121">
        <v>0</v>
      </c>
      <c r="AG121">
        <v>1</v>
      </c>
      <c r="AH121">
        <v>0</v>
      </c>
      <c r="AI121">
        <v>1</v>
      </c>
      <c r="AJ121" t="s">
        <v>96</v>
      </c>
      <c r="AK121">
        <v>1</v>
      </c>
      <c r="AL121">
        <f t="shared" si="8"/>
        <v>6</v>
      </c>
      <c r="AM121">
        <v>7</v>
      </c>
      <c r="AN121">
        <v>0</v>
      </c>
      <c r="AO121">
        <f t="shared" si="9"/>
        <v>7</v>
      </c>
      <c r="AP121" t="s">
        <v>72</v>
      </c>
    </row>
    <row r="122" spans="1:44" x14ac:dyDescent="0.3">
      <c r="A122" t="s">
        <v>369</v>
      </c>
      <c r="B122" s="17">
        <v>45989</v>
      </c>
      <c r="C122" s="6" t="s">
        <v>236</v>
      </c>
      <c r="D122" s="6" t="s">
        <v>242</v>
      </c>
      <c r="E122">
        <v>1</v>
      </c>
      <c r="F122">
        <v>2</v>
      </c>
      <c r="G122" t="str">
        <f>A122 &amp; "-" &amp; C122 &amp; "-" &amp; D122 &amp; "-" &amp; E122 &amp; "-" &amp; F122</f>
        <v>ID_124-G-12-1-2</v>
      </c>
      <c r="H122" s="4">
        <v>0.47569444444444442</v>
      </c>
      <c r="I122" s="4">
        <v>0.4826388888888889</v>
      </c>
      <c r="J122" s="25">
        <f t="shared" si="5"/>
        <v>11.416666666666666</v>
      </c>
      <c r="K122" s="5">
        <v>23</v>
      </c>
      <c r="L122" s="5">
        <v>23</v>
      </c>
      <c r="M122" s="5">
        <f t="shared" si="6"/>
        <v>23</v>
      </c>
      <c r="N122">
        <v>31.1</v>
      </c>
      <c r="O122">
        <v>27</v>
      </c>
      <c r="P122">
        <v>24.9</v>
      </c>
      <c r="Q122">
        <f t="shared" si="7"/>
        <v>27.666666666666668</v>
      </c>
      <c r="R122" t="s">
        <v>30</v>
      </c>
      <c r="S122" t="s">
        <v>50</v>
      </c>
      <c r="T122">
        <v>3</v>
      </c>
      <c r="U122" t="s">
        <v>31</v>
      </c>
      <c r="V122" s="2" t="s">
        <v>245</v>
      </c>
      <c r="W122">
        <v>4</v>
      </c>
      <c r="X122" t="s">
        <v>28</v>
      </c>
      <c r="Y122" t="s">
        <v>28</v>
      </c>
      <c r="Z122">
        <v>0</v>
      </c>
      <c r="AA122">
        <v>0</v>
      </c>
      <c r="AB122">
        <v>0</v>
      </c>
      <c r="AC122">
        <v>1</v>
      </c>
      <c r="AD122">
        <v>0</v>
      </c>
      <c r="AE122">
        <v>0</v>
      </c>
      <c r="AF122">
        <v>0</v>
      </c>
      <c r="AG122">
        <v>0</v>
      </c>
      <c r="AH122">
        <v>1</v>
      </c>
      <c r="AI122">
        <v>1</v>
      </c>
      <c r="AJ122" t="s">
        <v>97</v>
      </c>
      <c r="AK122">
        <v>2</v>
      </c>
      <c r="AL122">
        <f t="shared" si="8"/>
        <v>5</v>
      </c>
      <c r="AM122">
        <v>7</v>
      </c>
      <c r="AN122">
        <v>0</v>
      </c>
      <c r="AO122">
        <f t="shared" si="9"/>
        <v>7</v>
      </c>
      <c r="AP122" t="s">
        <v>72</v>
      </c>
    </row>
    <row r="123" spans="1:44" x14ac:dyDescent="0.3">
      <c r="A123" t="s">
        <v>370</v>
      </c>
      <c r="B123" s="17">
        <v>45989</v>
      </c>
      <c r="C123" s="6" t="s">
        <v>236</v>
      </c>
      <c r="D123" s="6" t="s">
        <v>242</v>
      </c>
      <c r="E123">
        <v>2</v>
      </c>
      <c r="F123">
        <v>1</v>
      </c>
      <c r="G123" t="str">
        <f>A123 &amp; "-" &amp; C123 &amp; "-" &amp; D123 &amp; "-" &amp; E123 &amp; "-" &amp; F123</f>
        <v>ID_125-G-12-2-1</v>
      </c>
      <c r="H123" s="4">
        <v>0.46250000000000002</v>
      </c>
      <c r="I123" s="4">
        <v>0.46944444444444444</v>
      </c>
      <c r="J123" s="25">
        <f t="shared" si="5"/>
        <v>11.1</v>
      </c>
      <c r="K123" s="5">
        <v>22.7</v>
      </c>
      <c r="L123" s="5">
        <v>23</v>
      </c>
      <c r="M123" s="5">
        <f t="shared" si="6"/>
        <v>22.85</v>
      </c>
      <c r="N123">
        <v>31.1</v>
      </c>
      <c r="O123">
        <v>27</v>
      </c>
      <c r="P123">
        <v>24.9</v>
      </c>
      <c r="Q123">
        <f t="shared" si="7"/>
        <v>27.666666666666668</v>
      </c>
      <c r="R123" t="s">
        <v>32</v>
      </c>
      <c r="S123" t="s">
        <v>32</v>
      </c>
      <c r="T123">
        <v>2</v>
      </c>
      <c r="U123" t="s">
        <v>31</v>
      </c>
      <c r="V123" s="2" t="s">
        <v>245</v>
      </c>
      <c r="W123">
        <v>4</v>
      </c>
      <c r="X123" t="s">
        <v>28</v>
      </c>
      <c r="Y123" t="s">
        <v>28</v>
      </c>
      <c r="Z123">
        <v>1</v>
      </c>
      <c r="AA123">
        <v>0</v>
      </c>
      <c r="AB123">
        <v>1</v>
      </c>
      <c r="AC123">
        <v>1</v>
      </c>
      <c r="AD123">
        <v>0</v>
      </c>
      <c r="AE123">
        <v>0</v>
      </c>
      <c r="AF123">
        <v>0</v>
      </c>
      <c r="AG123">
        <v>1</v>
      </c>
      <c r="AH123">
        <v>0</v>
      </c>
      <c r="AI123">
        <v>1</v>
      </c>
      <c r="AJ123" t="s">
        <v>213</v>
      </c>
      <c r="AK123">
        <v>2</v>
      </c>
      <c r="AL123">
        <f t="shared" si="8"/>
        <v>7</v>
      </c>
      <c r="AM123">
        <v>2</v>
      </c>
      <c r="AN123">
        <v>0</v>
      </c>
      <c r="AO123">
        <f t="shared" si="9"/>
        <v>2</v>
      </c>
    </row>
    <row r="124" spans="1:44" x14ac:dyDescent="0.3">
      <c r="A124" t="s">
        <v>371</v>
      </c>
      <c r="B124" s="17">
        <v>45989</v>
      </c>
      <c r="C124" s="6" t="s">
        <v>236</v>
      </c>
      <c r="D124" s="6" t="s">
        <v>242</v>
      </c>
      <c r="E124">
        <v>2</v>
      </c>
      <c r="F124">
        <v>1</v>
      </c>
      <c r="G124" t="str">
        <f>A124 &amp; "-" &amp; C124 &amp; "-" &amp; D124 &amp; "-" &amp; E124 &amp; "-" &amp; F124</f>
        <v>ID_126-G-12-2-1</v>
      </c>
      <c r="H124" s="4">
        <v>0.46250000000000002</v>
      </c>
      <c r="I124" s="4">
        <v>0.46944444444444444</v>
      </c>
      <c r="J124" s="25">
        <f t="shared" si="5"/>
        <v>11.1</v>
      </c>
      <c r="K124" s="5">
        <v>22.7</v>
      </c>
      <c r="L124" s="5">
        <v>23</v>
      </c>
      <c r="M124" s="5">
        <f t="shared" si="6"/>
        <v>22.85</v>
      </c>
      <c r="N124">
        <v>31.1</v>
      </c>
      <c r="O124">
        <v>27</v>
      </c>
      <c r="P124">
        <v>24.9</v>
      </c>
      <c r="Q124">
        <f t="shared" si="7"/>
        <v>27.666666666666668</v>
      </c>
      <c r="R124" t="s">
        <v>32</v>
      </c>
      <c r="S124" t="s">
        <v>32</v>
      </c>
      <c r="T124">
        <v>2</v>
      </c>
      <c r="U124" t="s">
        <v>31</v>
      </c>
      <c r="V124" s="2" t="s">
        <v>245</v>
      </c>
      <c r="W124">
        <v>4</v>
      </c>
      <c r="X124" t="s">
        <v>28</v>
      </c>
      <c r="Y124" t="s">
        <v>28</v>
      </c>
      <c r="Z124">
        <v>1</v>
      </c>
      <c r="AA124">
        <v>0</v>
      </c>
      <c r="AB124">
        <v>1</v>
      </c>
      <c r="AC124">
        <v>1</v>
      </c>
      <c r="AD124">
        <v>0</v>
      </c>
      <c r="AE124">
        <v>0</v>
      </c>
      <c r="AF124">
        <v>0</v>
      </c>
      <c r="AG124">
        <v>1</v>
      </c>
      <c r="AH124">
        <v>0</v>
      </c>
      <c r="AI124">
        <v>1</v>
      </c>
      <c r="AJ124" t="s">
        <v>36</v>
      </c>
      <c r="AK124">
        <v>0</v>
      </c>
      <c r="AL124">
        <f t="shared" si="8"/>
        <v>5</v>
      </c>
      <c r="AM124">
        <v>6</v>
      </c>
      <c r="AN124">
        <v>0</v>
      </c>
      <c r="AO124">
        <f t="shared" si="9"/>
        <v>6</v>
      </c>
    </row>
    <row r="125" spans="1:44" x14ac:dyDescent="0.3">
      <c r="A125" t="s">
        <v>372</v>
      </c>
      <c r="B125" s="17">
        <v>45989</v>
      </c>
      <c r="C125" s="6" t="s">
        <v>236</v>
      </c>
      <c r="D125" s="6">
        <v>2</v>
      </c>
      <c r="E125">
        <v>1</v>
      </c>
      <c r="F125">
        <v>1</v>
      </c>
      <c r="G125" t="str">
        <f>A125 &amp; "-" &amp; C125 &amp; "-" &amp; D125 &amp; "-" &amp; E125 &amp; "-" &amp; F125</f>
        <v>ID_127-G-2-1-1</v>
      </c>
      <c r="H125" s="4">
        <v>0.54513888888888884</v>
      </c>
      <c r="I125" s="4">
        <v>0.55277777777777781</v>
      </c>
      <c r="J125" s="25">
        <f t="shared" si="5"/>
        <v>13.083333333333334</v>
      </c>
      <c r="K125" s="5">
        <v>24.5</v>
      </c>
      <c r="L125" s="5">
        <v>24.3</v>
      </c>
      <c r="M125" s="5">
        <f t="shared" si="6"/>
        <v>24.4</v>
      </c>
      <c r="N125">
        <v>31.1</v>
      </c>
      <c r="O125">
        <v>27</v>
      </c>
      <c r="P125">
        <v>24.9</v>
      </c>
      <c r="Q125">
        <f t="shared" si="7"/>
        <v>27.666666666666668</v>
      </c>
      <c r="R125" t="s">
        <v>30</v>
      </c>
      <c r="S125" t="s">
        <v>30</v>
      </c>
      <c r="T125">
        <v>3</v>
      </c>
      <c r="U125" t="s">
        <v>68</v>
      </c>
      <c r="V125" s="2" t="s">
        <v>245</v>
      </c>
      <c r="W125">
        <v>5</v>
      </c>
      <c r="X125" t="s">
        <v>28</v>
      </c>
      <c r="Y125" t="s">
        <v>28</v>
      </c>
      <c r="Z125">
        <v>1</v>
      </c>
      <c r="AA125">
        <v>0</v>
      </c>
      <c r="AB125">
        <v>0</v>
      </c>
      <c r="AC125">
        <v>0</v>
      </c>
      <c r="AD125">
        <v>0</v>
      </c>
      <c r="AE125">
        <v>0</v>
      </c>
      <c r="AF125">
        <v>0</v>
      </c>
      <c r="AG125">
        <v>1</v>
      </c>
      <c r="AH125">
        <v>1</v>
      </c>
      <c r="AI125">
        <v>0</v>
      </c>
      <c r="AJ125" t="s">
        <v>59</v>
      </c>
      <c r="AK125">
        <v>1</v>
      </c>
      <c r="AL125">
        <f t="shared" si="8"/>
        <v>4</v>
      </c>
      <c r="AM125">
        <v>1</v>
      </c>
      <c r="AN125">
        <v>0</v>
      </c>
      <c r="AO125">
        <f t="shared" si="9"/>
        <v>1</v>
      </c>
    </row>
    <row r="126" spans="1:44" x14ac:dyDescent="0.3">
      <c r="A126" t="s">
        <v>373</v>
      </c>
      <c r="B126" s="17">
        <v>45989</v>
      </c>
      <c r="C126" s="6" t="s">
        <v>236</v>
      </c>
      <c r="D126" s="6">
        <v>2</v>
      </c>
      <c r="E126">
        <v>1</v>
      </c>
      <c r="F126">
        <v>1</v>
      </c>
      <c r="G126" t="str">
        <f>A126 &amp; "-" &amp; C126 &amp; "-" &amp; D126 &amp; "-" &amp; E126 &amp; "-" &amp; F126</f>
        <v>ID_128-G-2-1-1</v>
      </c>
      <c r="H126" s="4">
        <v>0.54513888888888884</v>
      </c>
      <c r="I126" s="4">
        <v>0.55208333333333337</v>
      </c>
      <c r="J126" s="25">
        <f t="shared" si="5"/>
        <v>13.083333333333334</v>
      </c>
      <c r="K126" s="5">
        <v>24.5</v>
      </c>
      <c r="L126" s="5">
        <v>24.3</v>
      </c>
      <c r="M126" s="5">
        <f t="shared" si="6"/>
        <v>24.4</v>
      </c>
      <c r="N126">
        <v>31.1</v>
      </c>
      <c r="O126">
        <v>27</v>
      </c>
      <c r="P126">
        <v>24.9</v>
      </c>
      <c r="Q126">
        <f t="shared" si="7"/>
        <v>27.666666666666668</v>
      </c>
      <c r="R126" t="s">
        <v>30</v>
      </c>
      <c r="S126" t="s">
        <v>30</v>
      </c>
      <c r="T126">
        <v>3</v>
      </c>
      <c r="U126" t="s">
        <v>68</v>
      </c>
      <c r="V126" s="2" t="s">
        <v>245</v>
      </c>
      <c r="W126">
        <v>5</v>
      </c>
      <c r="X126" t="s">
        <v>28</v>
      </c>
      <c r="Y126" t="s">
        <v>28</v>
      </c>
      <c r="Z126">
        <v>1</v>
      </c>
      <c r="AA126">
        <v>1</v>
      </c>
      <c r="AB126">
        <v>0</v>
      </c>
      <c r="AC126">
        <v>1</v>
      </c>
      <c r="AD126">
        <v>0</v>
      </c>
      <c r="AE126">
        <v>0</v>
      </c>
      <c r="AF126">
        <v>1</v>
      </c>
      <c r="AG126">
        <v>1</v>
      </c>
      <c r="AH126">
        <v>0</v>
      </c>
      <c r="AI126">
        <v>1</v>
      </c>
      <c r="AJ126" t="s">
        <v>59</v>
      </c>
      <c r="AK126">
        <v>1</v>
      </c>
      <c r="AL126">
        <f t="shared" si="8"/>
        <v>7</v>
      </c>
      <c r="AM126">
        <v>4</v>
      </c>
      <c r="AN126">
        <v>0</v>
      </c>
      <c r="AO126">
        <f t="shared" si="9"/>
        <v>4</v>
      </c>
    </row>
    <row r="127" spans="1:44" x14ac:dyDescent="0.3">
      <c r="A127" t="s">
        <v>374</v>
      </c>
      <c r="B127" s="17">
        <v>45989</v>
      </c>
      <c r="C127" s="6" t="s">
        <v>236</v>
      </c>
      <c r="D127" s="6">
        <v>2</v>
      </c>
      <c r="E127">
        <v>1</v>
      </c>
      <c r="F127">
        <v>2</v>
      </c>
      <c r="G127" t="str">
        <f>A127 &amp; "-" &amp; C127 &amp; "-" &amp; D127 &amp; "-" &amp; E127 &amp; "-" &amp; F127</f>
        <v>ID_129-G-2-1-2</v>
      </c>
      <c r="H127" s="4">
        <v>0.55555555555555558</v>
      </c>
      <c r="I127" s="4">
        <v>0.5625</v>
      </c>
      <c r="J127" s="25">
        <f t="shared" si="5"/>
        <v>13.333333333333334</v>
      </c>
      <c r="K127" s="5">
        <v>24.3</v>
      </c>
      <c r="L127" s="5">
        <v>25.3</v>
      </c>
      <c r="M127" s="5">
        <f t="shared" si="6"/>
        <v>24.8</v>
      </c>
      <c r="N127">
        <v>31.1</v>
      </c>
      <c r="O127">
        <v>27</v>
      </c>
      <c r="P127">
        <v>24.9</v>
      </c>
      <c r="Q127">
        <f t="shared" si="7"/>
        <v>27.666666666666668</v>
      </c>
      <c r="R127" t="s">
        <v>30</v>
      </c>
      <c r="S127" t="s">
        <v>30</v>
      </c>
      <c r="T127">
        <v>3</v>
      </c>
      <c r="U127" t="s">
        <v>68</v>
      </c>
      <c r="V127" s="2" t="s">
        <v>245</v>
      </c>
      <c r="W127">
        <v>5</v>
      </c>
      <c r="X127" t="s">
        <v>28</v>
      </c>
      <c r="Y127" t="s">
        <v>28</v>
      </c>
      <c r="Z127">
        <v>0</v>
      </c>
      <c r="AA127">
        <v>0</v>
      </c>
      <c r="AB127">
        <v>0</v>
      </c>
      <c r="AC127">
        <v>1</v>
      </c>
      <c r="AD127">
        <v>0</v>
      </c>
      <c r="AE127">
        <v>0</v>
      </c>
      <c r="AF127">
        <v>0</v>
      </c>
      <c r="AG127">
        <v>1</v>
      </c>
      <c r="AH127">
        <v>1</v>
      </c>
      <c r="AI127">
        <v>1</v>
      </c>
      <c r="AJ127" t="s">
        <v>98</v>
      </c>
      <c r="AK127">
        <v>3</v>
      </c>
      <c r="AL127">
        <f t="shared" si="8"/>
        <v>7</v>
      </c>
      <c r="AM127">
        <v>0</v>
      </c>
      <c r="AN127">
        <v>0</v>
      </c>
      <c r="AO127">
        <f t="shared" si="9"/>
        <v>0</v>
      </c>
      <c r="AP127" t="s">
        <v>72</v>
      </c>
    </row>
    <row r="128" spans="1:44" x14ac:dyDescent="0.3">
      <c r="A128" t="s">
        <v>375</v>
      </c>
      <c r="B128" s="17">
        <v>45989</v>
      </c>
      <c r="C128" s="6" t="s">
        <v>236</v>
      </c>
      <c r="D128" s="6">
        <v>2</v>
      </c>
      <c r="E128">
        <v>1</v>
      </c>
      <c r="F128">
        <v>2</v>
      </c>
      <c r="G128" t="str">
        <f>A128 &amp; "-" &amp; C128 &amp; "-" &amp; D128 &amp; "-" &amp; E128 &amp; "-" &amp; F128</f>
        <v>ID_130-G-2-1-2</v>
      </c>
      <c r="H128" s="4">
        <v>0.55555555555555558</v>
      </c>
      <c r="I128" s="4">
        <v>0.5625</v>
      </c>
      <c r="J128" s="25">
        <f t="shared" si="5"/>
        <v>13.333333333333334</v>
      </c>
      <c r="K128" s="5">
        <v>24.3</v>
      </c>
      <c r="L128" s="5">
        <v>25.3</v>
      </c>
      <c r="M128" s="5">
        <f t="shared" si="6"/>
        <v>24.8</v>
      </c>
      <c r="N128">
        <v>31.1</v>
      </c>
      <c r="O128">
        <v>27</v>
      </c>
      <c r="P128">
        <v>24.9</v>
      </c>
      <c r="Q128">
        <f t="shared" si="7"/>
        <v>27.666666666666668</v>
      </c>
      <c r="R128" t="s">
        <v>30</v>
      </c>
      <c r="S128" t="s">
        <v>30</v>
      </c>
      <c r="T128">
        <v>3</v>
      </c>
      <c r="U128" t="s">
        <v>68</v>
      </c>
      <c r="V128" s="2" t="s">
        <v>245</v>
      </c>
      <c r="W128">
        <v>5</v>
      </c>
      <c r="X128" t="s">
        <v>28</v>
      </c>
      <c r="Y128" t="s">
        <v>28</v>
      </c>
      <c r="Z128">
        <v>0</v>
      </c>
      <c r="AA128">
        <v>0</v>
      </c>
      <c r="AB128">
        <v>1</v>
      </c>
      <c r="AC128">
        <v>0</v>
      </c>
      <c r="AD128">
        <v>0</v>
      </c>
      <c r="AE128">
        <v>0</v>
      </c>
      <c r="AF128">
        <v>0</v>
      </c>
      <c r="AG128">
        <v>1</v>
      </c>
      <c r="AH128">
        <v>1</v>
      </c>
      <c r="AI128">
        <v>1</v>
      </c>
      <c r="AJ128" t="s">
        <v>36</v>
      </c>
      <c r="AK128">
        <v>0</v>
      </c>
      <c r="AL128">
        <f t="shared" si="8"/>
        <v>4</v>
      </c>
      <c r="AM128">
        <v>3</v>
      </c>
      <c r="AN128">
        <v>0</v>
      </c>
      <c r="AO128">
        <f t="shared" si="9"/>
        <v>3</v>
      </c>
    </row>
    <row r="129" spans="1:44" x14ac:dyDescent="0.3">
      <c r="A129" t="s">
        <v>376</v>
      </c>
      <c r="B129" s="17">
        <v>45993</v>
      </c>
      <c r="C129" s="6" t="s">
        <v>236</v>
      </c>
      <c r="D129" s="6" t="s">
        <v>241</v>
      </c>
      <c r="E129">
        <v>1</v>
      </c>
      <c r="F129">
        <v>1</v>
      </c>
      <c r="G129" t="str">
        <f>A129 &amp; "-" &amp; C129 &amp; "-" &amp; D129 &amp; "-" &amp; E129 &amp; "-" &amp; F129</f>
        <v>ID_131-G-11-1-1</v>
      </c>
      <c r="H129" s="4">
        <v>0.50486111111111109</v>
      </c>
      <c r="I129" s="4">
        <v>0.5131944444444444</v>
      </c>
      <c r="J129" s="25">
        <f t="shared" si="5"/>
        <v>12.116666666666667</v>
      </c>
      <c r="K129" s="5">
        <v>17.399999999999999</v>
      </c>
      <c r="L129" s="5">
        <v>17.600000000000001</v>
      </c>
      <c r="M129" s="5">
        <f t="shared" si="6"/>
        <v>17.5</v>
      </c>
      <c r="N129">
        <v>22.9</v>
      </c>
      <c r="O129">
        <v>19.600000000000001</v>
      </c>
      <c r="P129">
        <v>19</v>
      </c>
      <c r="Q129">
        <f t="shared" si="7"/>
        <v>20.5</v>
      </c>
      <c r="R129" t="s">
        <v>50</v>
      </c>
      <c r="S129" t="s">
        <v>50</v>
      </c>
      <c r="T129">
        <v>1</v>
      </c>
      <c r="U129" t="s">
        <v>26</v>
      </c>
      <c r="V129" s="2" t="s">
        <v>245</v>
      </c>
      <c r="W129">
        <v>2</v>
      </c>
      <c r="X129" t="s">
        <v>28</v>
      </c>
      <c r="Y129" t="s">
        <v>28</v>
      </c>
      <c r="Z129">
        <v>1</v>
      </c>
      <c r="AA129">
        <v>0</v>
      </c>
      <c r="AB129">
        <v>1</v>
      </c>
      <c r="AC129">
        <v>1</v>
      </c>
      <c r="AD129">
        <v>0</v>
      </c>
      <c r="AE129">
        <v>0</v>
      </c>
      <c r="AF129">
        <v>0</v>
      </c>
      <c r="AG129">
        <v>1</v>
      </c>
      <c r="AH129">
        <v>1</v>
      </c>
      <c r="AI129">
        <v>0</v>
      </c>
      <c r="AJ129" t="s">
        <v>99</v>
      </c>
      <c r="AK129">
        <v>4</v>
      </c>
      <c r="AL129">
        <f t="shared" si="8"/>
        <v>9</v>
      </c>
      <c r="AM129">
        <v>4</v>
      </c>
      <c r="AN129">
        <v>0</v>
      </c>
      <c r="AO129">
        <f t="shared" si="9"/>
        <v>4</v>
      </c>
      <c r="AP129" t="s">
        <v>100</v>
      </c>
    </row>
    <row r="130" spans="1:44" x14ac:dyDescent="0.3">
      <c r="A130" t="s">
        <v>377</v>
      </c>
      <c r="B130" s="17">
        <v>45993</v>
      </c>
      <c r="C130" s="6" t="s">
        <v>236</v>
      </c>
      <c r="D130" s="6" t="s">
        <v>241</v>
      </c>
      <c r="E130">
        <v>1</v>
      </c>
      <c r="F130">
        <v>2</v>
      </c>
      <c r="G130" t="str">
        <f>A130 &amp; "-" &amp; C130 &amp; "-" &amp; D130 &amp; "-" &amp; E130 &amp; "-" &amp; F130</f>
        <v>ID_132-G-11-1-2</v>
      </c>
      <c r="H130" s="4">
        <v>0.51527777777777772</v>
      </c>
      <c r="I130" s="4">
        <v>0.52430555555555558</v>
      </c>
      <c r="J130" s="25">
        <f t="shared" ref="J130:J193" si="10">HOUR(H130)+(MINUTE(H130))/60</f>
        <v>12.366666666666667</v>
      </c>
      <c r="K130" s="5">
        <v>17.600000000000001</v>
      </c>
      <c r="L130" s="5">
        <v>18.2</v>
      </c>
      <c r="M130" s="5">
        <f t="shared" ref="M130:M193" si="11">(K130+L130)/2</f>
        <v>17.899999999999999</v>
      </c>
      <c r="N130">
        <v>22.9</v>
      </c>
      <c r="O130">
        <v>19.600000000000001</v>
      </c>
      <c r="P130">
        <v>19</v>
      </c>
      <c r="Q130">
        <f t="shared" ref="Q130:Q193" si="12">(N130+O130+P130)/3</f>
        <v>20.5</v>
      </c>
      <c r="R130" t="s">
        <v>50</v>
      </c>
      <c r="S130" t="s">
        <v>56</v>
      </c>
      <c r="T130">
        <v>1</v>
      </c>
      <c r="U130" t="s">
        <v>35</v>
      </c>
      <c r="V130" s="2" t="s">
        <v>245</v>
      </c>
      <c r="W130">
        <v>3</v>
      </c>
      <c r="X130" t="s">
        <v>28</v>
      </c>
      <c r="Y130" t="s">
        <v>28</v>
      </c>
      <c r="Z130">
        <v>1</v>
      </c>
      <c r="AA130">
        <v>0</v>
      </c>
      <c r="AB130">
        <v>1</v>
      </c>
      <c r="AC130">
        <v>1</v>
      </c>
      <c r="AD130">
        <v>1</v>
      </c>
      <c r="AE130">
        <v>0</v>
      </c>
      <c r="AF130">
        <v>0</v>
      </c>
      <c r="AG130">
        <v>1</v>
      </c>
      <c r="AH130">
        <v>0</v>
      </c>
      <c r="AI130">
        <v>1</v>
      </c>
      <c r="AJ130" t="s">
        <v>101</v>
      </c>
      <c r="AK130">
        <v>3</v>
      </c>
      <c r="AL130">
        <f t="shared" ref="AL130:AL193" si="13">Z130+AA130+AB130+AC130+AD130+AE130+AF130+AG130+AH130+AI130+AK130</f>
        <v>9</v>
      </c>
      <c r="AM130">
        <v>2</v>
      </c>
      <c r="AN130">
        <v>0</v>
      </c>
      <c r="AO130">
        <f t="shared" ref="AO130:AO193" si="14">AM130+AN130</f>
        <v>2</v>
      </c>
      <c r="AP130" t="s">
        <v>72</v>
      </c>
    </row>
    <row r="131" spans="1:44" x14ac:dyDescent="0.3">
      <c r="A131" t="s">
        <v>378</v>
      </c>
      <c r="B131" s="17">
        <v>45993</v>
      </c>
      <c r="C131" s="6" t="s">
        <v>236</v>
      </c>
      <c r="D131" s="6" t="s">
        <v>242</v>
      </c>
      <c r="E131">
        <v>1</v>
      </c>
      <c r="F131">
        <v>2</v>
      </c>
      <c r="G131" t="str">
        <f>A131 &amp; "-" &amp; C131 &amp; "-" &amp; D131 &amp; "-" &amp; E131 &amp; "-" &amp; F131</f>
        <v>ID_133-G-12-1-2</v>
      </c>
      <c r="H131" s="4">
        <v>0.6</v>
      </c>
      <c r="I131" s="4">
        <v>0.6069444444444444</v>
      </c>
      <c r="J131" s="25">
        <f t="shared" si="10"/>
        <v>14.4</v>
      </c>
      <c r="K131" s="5">
        <v>20.100000000000001</v>
      </c>
      <c r="L131" s="5">
        <v>20.399999999999999</v>
      </c>
      <c r="M131" s="5">
        <f t="shared" si="11"/>
        <v>20.25</v>
      </c>
      <c r="N131">
        <v>22.9</v>
      </c>
      <c r="O131">
        <v>19.600000000000001</v>
      </c>
      <c r="P131">
        <v>19</v>
      </c>
      <c r="Q131">
        <f t="shared" si="12"/>
        <v>20.5</v>
      </c>
      <c r="R131" t="s">
        <v>27</v>
      </c>
      <c r="S131" t="s">
        <v>30</v>
      </c>
      <c r="T131">
        <v>4</v>
      </c>
      <c r="U131" t="s">
        <v>35</v>
      </c>
      <c r="V131" s="2" t="s">
        <v>245</v>
      </c>
      <c r="W131">
        <v>3</v>
      </c>
      <c r="X131" t="s">
        <v>28</v>
      </c>
      <c r="Y131" t="s">
        <v>28</v>
      </c>
      <c r="Z131">
        <v>0</v>
      </c>
      <c r="AA131">
        <v>0</v>
      </c>
      <c r="AB131">
        <v>1</v>
      </c>
      <c r="AC131">
        <v>1</v>
      </c>
      <c r="AD131">
        <v>0</v>
      </c>
      <c r="AE131">
        <v>0</v>
      </c>
      <c r="AF131">
        <v>0</v>
      </c>
      <c r="AG131">
        <v>0</v>
      </c>
      <c r="AH131">
        <v>1</v>
      </c>
      <c r="AI131">
        <v>0</v>
      </c>
      <c r="AJ131" t="s">
        <v>103</v>
      </c>
      <c r="AK131">
        <v>1</v>
      </c>
      <c r="AL131">
        <f t="shared" si="13"/>
        <v>4</v>
      </c>
      <c r="AM131">
        <v>2</v>
      </c>
      <c r="AN131">
        <v>0</v>
      </c>
      <c r="AO131">
        <f t="shared" si="14"/>
        <v>2</v>
      </c>
      <c r="AP131" t="s">
        <v>104</v>
      </c>
    </row>
    <row r="132" spans="1:44" x14ac:dyDescent="0.3">
      <c r="A132" t="s">
        <v>379</v>
      </c>
      <c r="B132" s="17">
        <v>45994</v>
      </c>
      <c r="C132" s="6" t="s">
        <v>237</v>
      </c>
      <c r="D132" s="6">
        <v>1</v>
      </c>
      <c r="E132">
        <v>1</v>
      </c>
      <c r="F132">
        <v>1</v>
      </c>
      <c r="G132" t="str">
        <f>A132 &amp; "-" &amp; C132 &amp; "-" &amp; D132 &amp; "-" &amp; E132 &amp; "-" &amp; F132</f>
        <v>ID_134-L-1-1-1</v>
      </c>
      <c r="H132" s="4">
        <v>0.44861111111111113</v>
      </c>
      <c r="I132" s="4">
        <v>0.45555555555555555</v>
      </c>
      <c r="J132" s="25">
        <f t="shared" si="10"/>
        <v>10.766666666666667</v>
      </c>
      <c r="K132" s="5">
        <v>20.100000000000001</v>
      </c>
      <c r="L132" s="5">
        <v>20.399999999999999</v>
      </c>
      <c r="M132" s="5">
        <f t="shared" si="11"/>
        <v>20.25</v>
      </c>
      <c r="N132">
        <v>19.600000000000001</v>
      </c>
      <c r="O132">
        <v>19</v>
      </c>
      <c r="P132">
        <v>21.9</v>
      </c>
      <c r="Q132">
        <f t="shared" si="12"/>
        <v>20.166666666666668</v>
      </c>
      <c r="R132" t="s">
        <v>50</v>
      </c>
      <c r="S132" t="s">
        <v>50</v>
      </c>
      <c r="T132">
        <v>1</v>
      </c>
      <c r="U132" t="s">
        <v>26</v>
      </c>
      <c r="V132" t="s">
        <v>26</v>
      </c>
      <c r="W132">
        <v>2</v>
      </c>
      <c r="X132" t="s">
        <v>28</v>
      </c>
      <c r="Y132" t="s">
        <v>28</v>
      </c>
      <c r="Z132">
        <v>1</v>
      </c>
      <c r="AA132">
        <v>1</v>
      </c>
      <c r="AB132">
        <v>1</v>
      </c>
      <c r="AC132">
        <v>1</v>
      </c>
      <c r="AD132">
        <v>0</v>
      </c>
      <c r="AE132">
        <v>0</v>
      </c>
      <c r="AF132">
        <v>1</v>
      </c>
      <c r="AG132">
        <v>1</v>
      </c>
      <c r="AH132">
        <v>0</v>
      </c>
      <c r="AI132">
        <v>1</v>
      </c>
      <c r="AJ132" t="s">
        <v>215</v>
      </c>
      <c r="AK132">
        <v>2</v>
      </c>
      <c r="AL132">
        <f t="shared" si="13"/>
        <v>9</v>
      </c>
      <c r="AM132">
        <v>5</v>
      </c>
      <c r="AN132">
        <v>0</v>
      </c>
      <c r="AO132">
        <f t="shared" si="14"/>
        <v>5</v>
      </c>
      <c r="AP132" t="s">
        <v>88</v>
      </c>
      <c r="AR132" t="s">
        <v>89</v>
      </c>
    </row>
    <row r="133" spans="1:44" x14ac:dyDescent="0.3">
      <c r="A133" t="s">
        <v>380</v>
      </c>
      <c r="B133" s="17">
        <v>45994</v>
      </c>
      <c r="C133" s="6" t="s">
        <v>237</v>
      </c>
      <c r="D133" s="6">
        <v>1</v>
      </c>
      <c r="E133">
        <v>1</v>
      </c>
      <c r="F133">
        <v>1</v>
      </c>
      <c r="G133" t="str">
        <f>A133 &amp; "-" &amp; C133 &amp; "-" &amp; D133 &amp; "-" &amp; E133 &amp; "-" &amp; F133</f>
        <v>ID_135-L-1-1-1</v>
      </c>
      <c r="H133" s="4">
        <v>0.44861111111111113</v>
      </c>
      <c r="I133" s="4">
        <v>0.45555555555555555</v>
      </c>
      <c r="J133" s="25">
        <f t="shared" si="10"/>
        <v>10.766666666666667</v>
      </c>
      <c r="K133" s="5">
        <v>20.100000000000001</v>
      </c>
      <c r="L133" s="5">
        <v>20.399999999999999</v>
      </c>
      <c r="M133" s="5">
        <f t="shared" si="11"/>
        <v>20.25</v>
      </c>
      <c r="N133">
        <v>19.600000000000001</v>
      </c>
      <c r="O133">
        <v>19</v>
      </c>
      <c r="P133">
        <v>21.9</v>
      </c>
      <c r="Q133">
        <f t="shared" si="12"/>
        <v>20.166666666666668</v>
      </c>
      <c r="R133" t="s">
        <v>50</v>
      </c>
      <c r="S133" t="s">
        <v>50</v>
      </c>
      <c r="T133">
        <v>1</v>
      </c>
      <c r="U133" t="s">
        <v>26</v>
      </c>
      <c r="V133" t="s">
        <v>26</v>
      </c>
      <c r="W133">
        <v>2</v>
      </c>
      <c r="X133" t="s">
        <v>28</v>
      </c>
      <c r="Y133" t="s">
        <v>28</v>
      </c>
      <c r="Z133">
        <v>1</v>
      </c>
      <c r="AA133">
        <v>0</v>
      </c>
      <c r="AB133">
        <v>1</v>
      </c>
      <c r="AC133">
        <v>1</v>
      </c>
      <c r="AD133">
        <v>1</v>
      </c>
      <c r="AE133">
        <v>0</v>
      </c>
      <c r="AF133">
        <v>0</v>
      </c>
      <c r="AG133">
        <v>1</v>
      </c>
      <c r="AH133">
        <v>1</v>
      </c>
      <c r="AI133">
        <v>1</v>
      </c>
      <c r="AJ133" t="s">
        <v>36</v>
      </c>
      <c r="AK133">
        <v>0</v>
      </c>
      <c r="AL133">
        <f t="shared" si="13"/>
        <v>7</v>
      </c>
      <c r="AM133">
        <v>4</v>
      </c>
      <c r="AN133">
        <v>0</v>
      </c>
      <c r="AO133">
        <f t="shared" si="14"/>
        <v>4</v>
      </c>
      <c r="AP133" t="s">
        <v>78</v>
      </c>
      <c r="AR133" t="s">
        <v>89</v>
      </c>
    </row>
    <row r="134" spans="1:44" x14ac:dyDescent="0.3">
      <c r="A134" t="s">
        <v>381</v>
      </c>
      <c r="B134" s="17">
        <v>45994</v>
      </c>
      <c r="C134" s="6" t="s">
        <v>237</v>
      </c>
      <c r="D134" s="6">
        <v>1</v>
      </c>
      <c r="E134">
        <v>1</v>
      </c>
      <c r="F134">
        <v>2</v>
      </c>
      <c r="G134" t="str">
        <f>A134 &amp; "-" &amp; C134 &amp; "-" &amp; D134 &amp; "-" &amp; E134 &amp; "-" &amp; F134</f>
        <v>ID_136-L-1-1-2</v>
      </c>
      <c r="H134" s="4">
        <v>0.45694444444444443</v>
      </c>
      <c r="I134" s="4">
        <v>0.46527777777777779</v>
      </c>
      <c r="J134" s="25">
        <f t="shared" si="10"/>
        <v>10.966666666666667</v>
      </c>
      <c r="K134" s="5">
        <v>20.399999999999999</v>
      </c>
      <c r="L134" s="5">
        <v>20.5</v>
      </c>
      <c r="M134" s="5">
        <f t="shared" si="11"/>
        <v>20.45</v>
      </c>
      <c r="N134">
        <v>19.600000000000001</v>
      </c>
      <c r="O134">
        <v>19</v>
      </c>
      <c r="P134">
        <v>21.9</v>
      </c>
      <c r="Q134">
        <f t="shared" si="12"/>
        <v>20.166666666666668</v>
      </c>
      <c r="R134" t="s">
        <v>50</v>
      </c>
      <c r="S134" t="s">
        <v>56</v>
      </c>
      <c r="T134">
        <v>1</v>
      </c>
      <c r="U134" t="s">
        <v>26</v>
      </c>
      <c r="V134" t="s">
        <v>26</v>
      </c>
      <c r="W134">
        <v>2</v>
      </c>
      <c r="X134" t="s">
        <v>28</v>
      </c>
      <c r="Y134" t="s">
        <v>28</v>
      </c>
      <c r="Z134">
        <v>0</v>
      </c>
      <c r="AA134">
        <v>1</v>
      </c>
      <c r="AB134">
        <v>1</v>
      </c>
      <c r="AC134">
        <v>1</v>
      </c>
      <c r="AD134">
        <v>1</v>
      </c>
      <c r="AE134">
        <v>1</v>
      </c>
      <c r="AF134">
        <v>0</v>
      </c>
      <c r="AG134">
        <v>1</v>
      </c>
      <c r="AH134">
        <v>1</v>
      </c>
      <c r="AI134">
        <v>1</v>
      </c>
      <c r="AJ134" t="s">
        <v>36</v>
      </c>
      <c r="AK134">
        <v>0</v>
      </c>
      <c r="AL134">
        <f t="shared" si="13"/>
        <v>8</v>
      </c>
      <c r="AM134">
        <v>6</v>
      </c>
      <c r="AN134">
        <v>0</v>
      </c>
      <c r="AO134">
        <f t="shared" si="14"/>
        <v>6</v>
      </c>
      <c r="AP134" s="2" t="s">
        <v>90</v>
      </c>
      <c r="AR134" t="s">
        <v>89</v>
      </c>
    </row>
    <row r="135" spans="1:44" x14ac:dyDescent="0.3">
      <c r="A135" t="s">
        <v>382</v>
      </c>
      <c r="B135" s="17">
        <v>45994</v>
      </c>
      <c r="C135" s="6" t="s">
        <v>237</v>
      </c>
      <c r="D135" s="6">
        <v>1</v>
      </c>
      <c r="E135">
        <v>1</v>
      </c>
      <c r="F135">
        <v>2</v>
      </c>
      <c r="G135" t="str">
        <f>A135 &amp; "-" &amp; C135 &amp; "-" &amp; D135 &amp; "-" &amp; E135 &amp; "-" &amp; F135</f>
        <v>ID_137-L-1-1-2</v>
      </c>
      <c r="H135" s="4">
        <v>0.45694444444444443</v>
      </c>
      <c r="I135" s="4">
        <v>0.46527777777777779</v>
      </c>
      <c r="J135" s="25">
        <f t="shared" si="10"/>
        <v>10.966666666666667</v>
      </c>
      <c r="K135" s="5">
        <v>20.399999999999999</v>
      </c>
      <c r="L135" s="5">
        <v>20.5</v>
      </c>
      <c r="M135" s="5">
        <f t="shared" si="11"/>
        <v>20.45</v>
      </c>
      <c r="N135">
        <v>19.600000000000001</v>
      </c>
      <c r="O135">
        <v>19</v>
      </c>
      <c r="P135">
        <v>21.9</v>
      </c>
      <c r="Q135">
        <f t="shared" si="12"/>
        <v>20.166666666666668</v>
      </c>
      <c r="R135" t="s">
        <v>50</v>
      </c>
      <c r="S135" t="s">
        <v>56</v>
      </c>
      <c r="T135">
        <v>1</v>
      </c>
      <c r="U135" t="s">
        <v>26</v>
      </c>
      <c r="V135" t="s">
        <v>26</v>
      </c>
      <c r="W135">
        <v>2</v>
      </c>
      <c r="X135" t="s">
        <v>28</v>
      </c>
      <c r="Y135" t="s">
        <v>28</v>
      </c>
      <c r="Z135">
        <v>1</v>
      </c>
      <c r="AA135">
        <v>1</v>
      </c>
      <c r="AB135">
        <v>1</v>
      </c>
      <c r="AC135">
        <v>1</v>
      </c>
      <c r="AD135">
        <v>1</v>
      </c>
      <c r="AE135">
        <v>1</v>
      </c>
      <c r="AF135">
        <v>0</v>
      </c>
      <c r="AG135">
        <v>1</v>
      </c>
      <c r="AH135">
        <v>1</v>
      </c>
      <c r="AI135">
        <v>0</v>
      </c>
      <c r="AJ135" t="s">
        <v>36</v>
      </c>
      <c r="AK135">
        <v>0</v>
      </c>
      <c r="AL135">
        <f t="shared" si="13"/>
        <v>8</v>
      </c>
      <c r="AM135">
        <v>9</v>
      </c>
      <c r="AN135">
        <v>0</v>
      </c>
      <c r="AO135">
        <f t="shared" si="14"/>
        <v>9</v>
      </c>
      <c r="AP135" t="s">
        <v>79</v>
      </c>
      <c r="AQ135" t="s">
        <v>80</v>
      </c>
      <c r="AR135" t="s">
        <v>89</v>
      </c>
    </row>
    <row r="136" spans="1:44" x14ac:dyDescent="0.3">
      <c r="A136" t="s">
        <v>383</v>
      </c>
      <c r="B136" s="17">
        <v>45995</v>
      </c>
      <c r="C136" s="6" t="s">
        <v>238</v>
      </c>
      <c r="D136" s="6" t="s">
        <v>244</v>
      </c>
      <c r="E136">
        <v>1</v>
      </c>
      <c r="F136">
        <v>1</v>
      </c>
      <c r="G136" t="str">
        <f>A136 &amp; "-" &amp; C136 &amp; "-" &amp; D136 &amp; "-" &amp; E136 &amp; "-" &amp; F136</f>
        <v>ID_138-M-10-1-1</v>
      </c>
      <c r="H136" s="4">
        <v>0.61250000000000004</v>
      </c>
      <c r="I136" s="4">
        <v>0.61944444444444446</v>
      </c>
      <c r="J136" s="25">
        <f t="shared" si="10"/>
        <v>14.7</v>
      </c>
      <c r="K136" s="5">
        <v>29.7</v>
      </c>
      <c r="L136" s="5">
        <v>29.7</v>
      </c>
      <c r="M136" s="5">
        <f t="shared" si="11"/>
        <v>29.7</v>
      </c>
      <c r="N136">
        <v>19</v>
      </c>
      <c r="O136">
        <v>21.9</v>
      </c>
      <c r="P136">
        <v>27.9</v>
      </c>
      <c r="Q136">
        <f t="shared" si="12"/>
        <v>22.933333333333334</v>
      </c>
      <c r="R136" t="s">
        <v>56</v>
      </c>
      <c r="S136" t="s">
        <v>56</v>
      </c>
      <c r="T136">
        <v>0</v>
      </c>
      <c r="U136" t="s">
        <v>35</v>
      </c>
      <c r="V136" t="s">
        <v>35</v>
      </c>
      <c r="W136">
        <v>3</v>
      </c>
      <c r="X136" t="s">
        <v>28</v>
      </c>
      <c r="Y136" t="s">
        <v>28</v>
      </c>
      <c r="Z136">
        <v>1</v>
      </c>
      <c r="AA136">
        <v>0</v>
      </c>
      <c r="AB136">
        <v>0</v>
      </c>
      <c r="AC136">
        <v>1</v>
      </c>
      <c r="AD136">
        <v>1</v>
      </c>
      <c r="AE136">
        <v>0</v>
      </c>
      <c r="AF136">
        <v>0</v>
      </c>
      <c r="AG136">
        <v>1</v>
      </c>
      <c r="AH136">
        <v>1</v>
      </c>
      <c r="AI136">
        <v>0</v>
      </c>
      <c r="AJ136" t="s">
        <v>36</v>
      </c>
      <c r="AK136">
        <v>0</v>
      </c>
      <c r="AL136">
        <f t="shared" si="13"/>
        <v>5</v>
      </c>
      <c r="AM136">
        <v>0</v>
      </c>
      <c r="AN136">
        <v>0</v>
      </c>
      <c r="AO136">
        <f t="shared" si="14"/>
        <v>0</v>
      </c>
    </row>
    <row r="137" spans="1:44" x14ac:dyDescent="0.3">
      <c r="A137" t="s">
        <v>384</v>
      </c>
      <c r="B137" s="17">
        <v>45995</v>
      </c>
      <c r="C137" s="6" t="s">
        <v>238</v>
      </c>
      <c r="D137" s="6" t="s">
        <v>244</v>
      </c>
      <c r="E137">
        <v>2</v>
      </c>
      <c r="F137">
        <v>1</v>
      </c>
      <c r="G137" t="str">
        <f>A137 &amp; "-" &amp; C137 &amp; "-" &amp; D137 &amp; "-" &amp; E137 &amp; "-" &amp; F137</f>
        <v>ID_139-M-10-2-1</v>
      </c>
      <c r="H137" s="4">
        <v>0.61319444444444449</v>
      </c>
      <c r="I137" s="4">
        <v>0.62013888888888891</v>
      </c>
      <c r="J137" s="25">
        <f t="shared" si="10"/>
        <v>14.716666666666667</v>
      </c>
      <c r="K137" s="5">
        <v>29.7</v>
      </c>
      <c r="L137" s="5">
        <v>29.7</v>
      </c>
      <c r="M137" s="5">
        <f t="shared" si="11"/>
        <v>29.7</v>
      </c>
      <c r="N137">
        <v>19</v>
      </c>
      <c r="O137">
        <v>21.9</v>
      </c>
      <c r="P137">
        <v>27.9</v>
      </c>
      <c r="Q137">
        <f t="shared" si="12"/>
        <v>22.933333333333334</v>
      </c>
      <c r="R137" t="s">
        <v>56</v>
      </c>
      <c r="S137" t="s">
        <v>56</v>
      </c>
      <c r="T137">
        <v>0</v>
      </c>
      <c r="U137" t="s">
        <v>35</v>
      </c>
      <c r="V137" t="s">
        <v>35</v>
      </c>
      <c r="W137">
        <v>3</v>
      </c>
      <c r="X137" t="s">
        <v>28</v>
      </c>
      <c r="Y137" t="s">
        <v>28</v>
      </c>
      <c r="Z137">
        <v>1</v>
      </c>
      <c r="AA137">
        <v>0</v>
      </c>
      <c r="AB137">
        <v>0</v>
      </c>
      <c r="AC137">
        <v>1</v>
      </c>
      <c r="AD137">
        <v>1</v>
      </c>
      <c r="AE137">
        <v>0</v>
      </c>
      <c r="AF137">
        <v>0</v>
      </c>
      <c r="AG137">
        <v>1</v>
      </c>
      <c r="AH137">
        <v>0</v>
      </c>
      <c r="AI137">
        <v>1</v>
      </c>
      <c r="AJ137" t="s">
        <v>36</v>
      </c>
      <c r="AK137">
        <v>0</v>
      </c>
      <c r="AL137">
        <f t="shared" si="13"/>
        <v>5</v>
      </c>
      <c r="AM137">
        <v>0</v>
      </c>
      <c r="AN137">
        <v>0</v>
      </c>
      <c r="AO137">
        <f t="shared" si="14"/>
        <v>0</v>
      </c>
    </row>
    <row r="138" spans="1:44" x14ac:dyDescent="0.3">
      <c r="A138" t="s">
        <v>385</v>
      </c>
      <c r="B138" s="17">
        <v>45995</v>
      </c>
      <c r="C138" s="6" t="s">
        <v>238</v>
      </c>
      <c r="D138" s="6">
        <v>1</v>
      </c>
      <c r="E138">
        <v>1</v>
      </c>
      <c r="F138">
        <v>1</v>
      </c>
      <c r="G138" t="str">
        <f>A138 &amp; "-" &amp; C138 &amp; "-" &amp; D138 &amp; "-" &amp; E138 &amp; "-" &amp; F138</f>
        <v>ID_140-M-1-1-1</v>
      </c>
      <c r="H138" s="4">
        <v>0.52152777777777781</v>
      </c>
      <c r="I138" s="4">
        <v>0.52847222222222223</v>
      </c>
      <c r="J138" s="25">
        <f t="shared" si="10"/>
        <v>12.516666666666667</v>
      </c>
      <c r="K138" s="5">
        <v>27.8</v>
      </c>
      <c r="L138" s="5">
        <v>28.3</v>
      </c>
      <c r="M138" s="5">
        <f t="shared" si="11"/>
        <v>28.05</v>
      </c>
      <c r="N138">
        <v>19</v>
      </c>
      <c r="O138">
        <v>21.9</v>
      </c>
      <c r="P138">
        <v>27.9</v>
      </c>
      <c r="Q138">
        <f t="shared" si="12"/>
        <v>22.933333333333334</v>
      </c>
      <c r="R138" t="s">
        <v>56</v>
      </c>
      <c r="S138" t="s">
        <v>56</v>
      </c>
      <c r="T138">
        <v>0</v>
      </c>
      <c r="U138" t="s">
        <v>35</v>
      </c>
      <c r="V138" t="s">
        <v>35</v>
      </c>
      <c r="W138">
        <v>3</v>
      </c>
      <c r="X138" t="s">
        <v>28</v>
      </c>
      <c r="Y138" t="s">
        <v>28</v>
      </c>
      <c r="Z138">
        <v>1</v>
      </c>
      <c r="AA138">
        <v>0</v>
      </c>
      <c r="AB138">
        <v>0</v>
      </c>
      <c r="AC138">
        <v>0</v>
      </c>
      <c r="AD138">
        <v>0</v>
      </c>
      <c r="AE138">
        <v>0</v>
      </c>
      <c r="AF138">
        <v>0</v>
      </c>
      <c r="AG138">
        <v>1</v>
      </c>
      <c r="AH138">
        <v>1</v>
      </c>
      <c r="AI138">
        <v>1</v>
      </c>
      <c r="AJ138" t="s">
        <v>73</v>
      </c>
      <c r="AK138">
        <v>1</v>
      </c>
      <c r="AL138">
        <f t="shared" si="13"/>
        <v>5</v>
      </c>
      <c r="AM138">
        <v>2</v>
      </c>
      <c r="AN138">
        <v>0</v>
      </c>
      <c r="AO138">
        <f t="shared" si="14"/>
        <v>2</v>
      </c>
    </row>
    <row r="139" spans="1:44" x14ac:dyDescent="0.3">
      <c r="A139" t="s">
        <v>386</v>
      </c>
      <c r="B139" s="17">
        <v>45995</v>
      </c>
      <c r="C139" s="6" t="s">
        <v>238</v>
      </c>
      <c r="D139" s="6">
        <v>1</v>
      </c>
      <c r="E139">
        <v>1</v>
      </c>
      <c r="F139">
        <v>1</v>
      </c>
      <c r="G139" t="str">
        <f>A139 &amp; "-" &amp; C139 &amp; "-" &amp; D139 &amp; "-" &amp; E139 &amp; "-" &amp; F139</f>
        <v>ID_141-M-1-1-1</v>
      </c>
      <c r="H139" s="4">
        <v>0.52083333333333337</v>
      </c>
      <c r="I139" s="4">
        <v>0.52847222222222223</v>
      </c>
      <c r="J139" s="25">
        <f t="shared" si="10"/>
        <v>12.5</v>
      </c>
      <c r="K139" s="5">
        <v>27.8</v>
      </c>
      <c r="L139" s="5">
        <v>28.3</v>
      </c>
      <c r="M139" s="5">
        <f t="shared" si="11"/>
        <v>28.05</v>
      </c>
      <c r="N139">
        <v>19</v>
      </c>
      <c r="O139">
        <v>21.9</v>
      </c>
      <c r="P139">
        <v>27.9</v>
      </c>
      <c r="Q139">
        <f t="shared" si="12"/>
        <v>22.933333333333334</v>
      </c>
      <c r="R139" t="s">
        <v>56</v>
      </c>
      <c r="S139" t="s">
        <v>56</v>
      </c>
      <c r="T139">
        <v>0</v>
      </c>
      <c r="U139" t="s">
        <v>35</v>
      </c>
      <c r="V139" t="s">
        <v>35</v>
      </c>
      <c r="W139">
        <v>3</v>
      </c>
      <c r="X139" t="s">
        <v>28</v>
      </c>
      <c r="Y139" t="s">
        <v>28</v>
      </c>
      <c r="Z139">
        <v>1</v>
      </c>
      <c r="AA139">
        <v>0</v>
      </c>
      <c r="AB139">
        <v>0</v>
      </c>
      <c r="AC139">
        <v>1</v>
      </c>
      <c r="AD139">
        <v>0</v>
      </c>
      <c r="AE139">
        <v>0</v>
      </c>
      <c r="AF139">
        <v>0</v>
      </c>
      <c r="AG139">
        <v>1</v>
      </c>
      <c r="AH139">
        <v>1</v>
      </c>
      <c r="AI139">
        <v>1</v>
      </c>
      <c r="AJ139" t="s">
        <v>76</v>
      </c>
      <c r="AK139">
        <v>1</v>
      </c>
      <c r="AL139">
        <f t="shared" si="13"/>
        <v>6</v>
      </c>
      <c r="AM139">
        <v>4</v>
      </c>
      <c r="AN139">
        <v>0</v>
      </c>
      <c r="AO139">
        <f t="shared" si="14"/>
        <v>4</v>
      </c>
      <c r="AP139" s="2" t="s">
        <v>77</v>
      </c>
    </row>
    <row r="140" spans="1:44" x14ac:dyDescent="0.3">
      <c r="A140" t="s">
        <v>387</v>
      </c>
      <c r="B140" s="17">
        <v>45995</v>
      </c>
      <c r="C140" s="6" t="s">
        <v>238</v>
      </c>
      <c r="D140" s="6">
        <v>1</v>
      </c>
      <c r="E140">
        <v>1</v>
      </c>
      <c r="F140">
        <v>2</v>
      </c>
      <c r="G140" t="str">
        <f>A140 &amp; "-" &amp; C140 &amp; "-" &amp; D140 &amp; "-" &amp; E140 &amp; "-" &amp; F140</f>
        <v>ID_142-M-1-1-2</v>
      </c>
      <c r="H140" s="4">
        <v>0.53194444444444444</v>
      </c>
      <c r="I140" s="4">
        <v>0.53888888888888886</v>
      </c>
      <c r="J140" s="25">
        <f t="shared" si="10"/>
        <v>12.766666666666667</v>
      </c>
      <c r="K140" s="5">
        <v>28.4</v>
      </c>
      <c r="L140" s="5">
        <v>29.1</v>
      </c>
      <c r="M140" s="5">
        <f t="shared" si="11"/>
        <v>28.75</v>
      </c>
      <c r="N140">
        <v>19</v>
      </c>
      <c r="O140">
        <v>21.9</v>
      </c>
      <c r="P140">
        <v>27.9</v>
      </c>
      <c r="Q140">
        <f t="shared" si="12"/>
        <v>22.933333333333334</v>
      </c>
      <c r="R140" t="s">
        <v>56</v>
      </c>
      <c r="S140" t="s">
        <v>56</v>
      </c>
      <c r="T140">
        <v>0</v>
      </c>
      <c r="U140" t="s">
        <v>35</v>
      </c>
      <c r="V140" t="s">
        <v>35</v>
      </c>
      <c r="W140">
        <v>3</v>
      </c>
      <c r="X140" t="s">
        <v>28</v>
      </c>
      <c r="Y140" t="s">
        <v>28</v>
      </c>
      <c r="Z140">
        <v>1</v>
      </c>
      <c r="AA140">
        <v>0</v>
      </c>
      <c r="AB140">
        <v>1</v>
      </c>
      <c r="AC140">
        <v>0</v>
      </c>
      <c r="AD140">
        <v>0</v>
      </c>
      <c r="AE140">
        <v>0</v>
      </c>
      <c r="AF140">
        <v>0</v>
      </c>
      <c r="AG140">
        <v>1</v>
      </c>
      <c r="AH140">
        <v>1</v>
      </c>
      <c r="AI140">
        <v>1</v>
      </c>
      <c r="AJ140" t="s">
        <v>36</v>
      </c>
      <c r="AK140">
        <v>0</v>
      </c>
      <c r="AL140">
        <f t="shared" si="13"/>
        <v>5</v>
      </c>
      <c r="AM140">
        <v>0</v>
      </c>
      <c r="AN140">
        <v>0</v>
      </c>
      <c r="AO140">
        <f t="shared" si="14"/>
        <v>0</v>
      </c>
      <c r="AP140" t="s">
        <v>72</v>
      </c>
    </row>
    <row r="141" spans="1:44" x14ac:dyDescent="0.3">
      <c r="A141" t="s">
        <v>388</v>
      </c>
      <c r="B141" s="17">
        <v>45995</v>
      </c>
      <c r="C141" s="6" t="s">
        <v>238</v>
      </c>
      <c r="D141" s="6">
        <v>1</v>
      </c>
      <c r="E141">
        <v>2</v>
      </c>
      <c r="F141">
        <v>1</v>
      </c>
      <c r="G141" t="str">
        <f>A141 &amp; "-" &amp; C141 &amp; "-" &amp; D141 &amp; "-" &amp; E141 &amp; "-" &amp; F141</f>
        <v>ID_143-M-1-2-1</v>
      </c>
      <c r="H141" s="4">
        <v>0.53263888888888888</v>
      </c>
      <c r="I141" s="4">
        <v>0.5395833333333333</v>
      </c>
      <c r="J141" s="25">
        <f t="shared" si="10"/>
        <v>12.783333333333333</v>
      </c>
      <c r="K141" s="5">
        <v>28.4</v>
      </c>
      <c r="L141" s="5">
        <v>29.1</v>
      </c>
      <c r="M141" s="5">
        <f t="shared" si="11"/>
        <v>28.75</v>
      </c>
      <c r="N141">
        <v>19</v>
      </c>
      <c r="O141">
        <v>21.9</v>
      </c>
      <c r="P141">
        <v>27.9</v>
      </c>
      <c r="Q141">
        <f t="shared" si="12"/>
        <v>22.933333333333334</v>
      </c>
      <c r="R141" t="s">
        <v>56</v>
      </c>
      <c r="S141" t="s">
        <v>56</v>
      </c>
      <c r="T141">
        <v>0</v>
      </c>
      <c r="U141" t="s">
        <v>35</v>
      </c>
      <c r="V141" t="s">
        <v>35</v>
      </c>
      <c r="W141">
        <v>3</v>
      </c>
      <c r="X141" t="s">
        <v>28</v>
      </c>
      <c r="Y141" t="s">
        <v>28</v>
      </c>
      <c r="Z141">
        <v>1</v>
      </c>
      <c r="AA141">
        <v>0</v>
      </c>
      <c r="AB141">
        <v>1</v>
      </c>
      <c r="AC141">
        <v>1</v>
      </c>
      <c r="AD141">
        <v>0</v>
      </c>
      <c r="AE141">
        <v>0</v>
      </c>
      <c r="AF141">
        <v>0</v>
      </c>
      <c r="AG141">
        <v>1</v>
      </c>
      <c r="AH141">
        <v>1</v>
      </c>
      <c r="AI141">
        <v>0</v>
      </c>
      <c r="AJ141" t="s">
        <v>38</v>
      </c>
      <c r="AK141">
        <v>1</v>
      </c>
      <c r="AL141">
        <f t="shared" si="13"/>
        <v>6</v>
      </c>
      <c r="AM141">
        <v>1</v>
      </c>
      <c r="AN141">
        <v>0</v>
      </c>
      <c r="AO141">
        <f t="shared" si="14"/>
        <v>1</v>
      </c>
      <c r="AP141" t="s">
        <v>231</v>
      </c>
    </row>
    <row r="142" spans="1:44" x14ac:dyDescent="0.3">
      <c r="A142" t="s">
        <v>389</v>
      </c>
      <c r="B142" s="17">
        <v>45995</v>
      </c>
      <c r="C142" s="6" t="s">
        <v>238</v>
      </c>
      <c r="D142" s="6">
        <v>2</v>
      </c>
      <c r="E142">
        <v>1</v>
      </c>
      <c r="F142">
        <v>1</v>
      </c>
      <c r="G142" t="str">
        <f>A142 &amp; "-" &amp; C142 &amp; "-" &amp; D142 &amp; "-" &amp; E142 &amp; "-" &amp; F142</f>
        <v>ID_144-M-2-1-1</v>
      </c>
      <c r="H142" s="4">
        <v>0.44097222222222221</v>
      </c>
      <c r="I142" s="4">
        <v>0.44791666666666669</v>
      </c>
      <c r="J142" s="25">
        <f t="shared" si="10"/>
        <v>10.583333333333334</v>
      </c>
      <c r="K142" s="5">
        <v>25.7</v>
      </c>
      <c r="L142" s="5">
        <v>25.8</v>
      </c>
      <c r="M142" s="5">
        <f t="shared" si="11"/>
        <v>25.75</v>
      </c>
      <c r="N142">
        <v>19</v>
      </c>
      <c r="O142">
        <v>21.9</v>
      </c>
      <c r="P142">
        <v>27.9</v>
      </c>
      <c r="Q142">
        <f t="shared" si="12"/>
        <v>22.933333333333334</v>
      </c>
      <c r="R142" t="s">
        <v>56</v>
      </c>
      <c r="S142" t="s">
        <v>56</v>
      </c>
      <c r="T142">
        <v>0</v>
      </c>
      <c r="U142" t="s">
        <v>26</v>
      </c>
      <c r="V142" t="s">
        <v>26</v>
      </c>
      <c r="W142">
        <v>2</v>
      </c>
      <c r="X142" t="s">
        <v>28</v>
      </c>
      <c r="Y142" t="s">
        <v>28</v>
      </c>
      <c r="Z142">
        <v>1</v>
      </c>
      <c r="AA142">
        <v>0</v>
      </c>
      <c r="AB142">
        <v>1</v>
      </c>
      <c r="AC142">
        <v>1</v>
      </c>
      <c r="AD142">
        <v>0</v>
      </c>
      <c r="AE142">
        <v>0</v>
      </c>
      <c r="AF142">
        <v>0</v>
      </c>
      <c r="AG142">
        <v>1</v>
      </c>
      <c r="AH142">
        <v>1</v>
      </c>
      <c r="AI142">
        <v>1</v>
      </c>
      <c r="AJ142" t="s">
        <v>154</v>
      </c>
      <c r="AK142">
        <v>1</v>
      </c>
      <c r="AL142">
        <f t="shared" si="13"/>
        <v>7</v>
      </c>
      <c r="AM142">
        <v>0</v>
      </c>
      <c r="AN142">
        <v>0</v>
      </c>
      <c r="AO142">
        <f t="shared" si="14"/>
        <v>0</v>
      </c>
      <c r="AP142" t="s">
        <v>72</v>
      </c>
    </row>
    <row r="143" spans="1:44" x14ac:dyDescent="0.3">
      <c r="A143" t="s">
        <v>390</v>
      </c>
      <c r="B143" s="17">
        <v>45995</v>
      </c>
      <c r="C143" s="6" t="s">
        <v>238</v>
      </c>
      <c r="D143" s="6">
        <v>2</v>
      </c>
      <c r="E143">
        <v>1</v>
      </c>
      <c r="F143">
        <v>1</v>
      </c>
      <c r="G143" t="str">
        <f>A143 &amp; "-" &amp; C143 &amp; "-" &amp; D143 &amp; "-" &amp; E143 &amp; "-" &amp; F143</f>
        <v>ID_145-M-2-1-1</v>
      </c>
      <c r="H143" s="4">
        <v>0.44097222222222221</v>
      </c>
      <c r="I143" s="4">
        <v>0.44791666666666669</v>
      </c>
      <c r="J143" s="25">
        <f t="shared" si="10"/>
        <v>10.583333333333334</v>
      </c>
      <c r="K143" s="5">
        <v>25.7</v>
      </c>
      <c r="L143" s="5">
        <v>25.8</v>
      </c>
      <c r="M143" s="5">
        <f t="shared" si="11"/>
        <v>25.75</v>
      </c>
      <c r="N143">
        <v>19</v>
      </c>
      <c r="O143">
        <v>21.9</v>
      </c>
      <c r="P143">
        <v>27.9</v>
      </c>
      <c r="Q143">
        <f t="shared" si="12"/>
        <v>22.933333333333334</v>
      </c>
      <c r="R143" t="s">
        <v>56</v>
      </c>
      <c r="S143" t="s">
        <v>56</v>
      </c>
      <c r="T143">
        <v>0</v>
      </c>
      <c r="U143" t="s">
        <v>26</v>
      </c>
      <c r="V143" t="s">
        <v>26</v>
      </c>
      <c r="W143">
        <v>2</v>
      </c>
      <c r="X143" t="s">
        <v>28</v>
      </c>
      <c r="Y143" t="s">
        <v>28</v>
      </c>
      <c r="Z143">
        <v>0</v>
      </c>
      <c r="AA143">
        <v>0</v>
      </c>
      <c r="AB143">
        <v>1</v>
      </c>
      <c r="AC143">
        <v>1</v>
      </c>
      <c r="AD143">
        <v>0</v>
      </c>
      <c r="AE143">
        <v>0</v>
      </c>
      <c r="AF143">
        <v>0</v>
      </c>
      <c r="AG143">
        <v>1</v>
      </c>
      <c r="AH143">
        <v>1</v>
      </c>
      <c r="AI143">
        <v>1</v>
      </c>
      <c r="AJ143" t="s">
        <v>36</v>
      </c>
      <c r="AK143">
        <v>0</v>
      </c>
      <c r="AL143">
        <f t="shared" si="13"/>
        <v>5</v>
      </c>
      <c r="AM143">
        <v>2</v>
      </c>
      <c r="AN143">
        <v>0</v>
      </c>
      <c r="AO143">
        <f t="shared" si="14"/>
        <v>2</v>
      </c>
      <c r="AP143" t="s">
        <v>74</v>
      </c>
      <c r="AQ143" t="s">
        <v>75</v>
      </c>
    </row>
    <row r="144" spans="1:44" x14ac:dyDescent="0.3">
      <c r="A144" t="s">
        <v>391</v>
      </c>
      <c r="B144" s="17">
        <v>45996</v>
      </c>
      <c r="C144" s="6" t="s">
        <v>238</v>
      </c>
      <c r="D144" s="6">
        <v>2</v>
      </c>
      <c r="E144">
        <v>1</v>
      </c>
      <c r="F144">
        <v>1</v>
      </c>
      <c r="G144" t="str">
        <f>A144 &amp; "-" &amp; C144 &amp; "-" &amp; D144 &amp; "-" &amp; E144 &amp; "-" &amp; F144</f>
        <v>ID_146-M-2-1-1</v>
      </c>
      <c r="H144" s="4">
        <v>0.59097222222222223</v>
      </c>
      <c r="I144" s="4">
        <v>0.59791666666666665</v>
      </c>
      <c r="J144" s="25">
        <f t="shared" si="10"/>
        <v>14.183333333333334</v>
      </c>
      <c r="K144" s="5">
        <v>34.200000000000003</v>
      </c>
      <c r="L144" s="5">
        <v>32.4</v>
      </c>
      <c r="M144" s="5">
        <f t="shared" si="11"/>
        <v>33.299999999999997</v>
      </c>
      <c r="N144">
        <v>21.9</v>
      </c>
      <c r="O144">
        <v>27.9</v>
      </c>
      <c r="P144">
        <v>31.4</v>
      </c>
      <c r="Q144">
        <f t="shared" si="12"/>
        <v>27.066666666666663</v>
      </c>
      <c r="R144" t="s">
        <v>30</v>
      </c>
      <c r="S144" t="s">
        <v>30</v>
      </c>
      <c r="T144">
        <v>3</v>
      </c>
      <c r="U144" t="s">
        <v>68</v>
      </c>
      <c r="V144" s="2" t="s">
        <v>245</v>
      </c>
      <c r="W144">
        <v>5</v>
      </c>
      <c r="X144" t="s">
        <v>28</v>
      </c>
      <c r="Y144" t="s">
        <v>28</v>
      </c>
      <c r="Z144">
        <v>1</v>
      </c>
      <c r="AA144">
        <v>0</v>
      </c>
      <c r="AB144">
        <v>0</v>
      </c>
      <c r="AC144">
        <v>1</v>
      </c>
      <c r="AD144">
        <v>0</v>
      </c>
      <c r="AE144">
        <v>0</v>
      </c>
      <c r="AF144">
        <v>0</v>
      </c>
      <c r="AG144">
        <v>1</v>
      </c>
      <c r="AH144">
        <v>1</v>
      </c>
      <c r="AI144">
        <v>1</v>
      </c>
      <c r="AJ144" t="s">
        <v>36</v>
      </c>
      <c r="AK144">
        <v>0</v>
      </c>
      <c r="AL144">
        <f t="shared" si="13"/>
        <v>5</v>
      </c>
      <c r="AM144">
        <v>0</v>
      </c>
      <c r="AN144">
        <v>0</v>
      </c>
      <c r="AO144">
        <f t="shared" si="14"/>
        <v>0</v>
      </c>
    </row>
    <row r="145" spans="1:42" x14ac:dyDescent="0.3">
      <c r="A145" t="s">
        <v>392</v>
      </c>
      <c r="B145" s="17">
        <v>45996</v>
      </c>
      <c r="C145" s="6" t="s">
        <v>238</v>
      </c>
      <c r="D145" s="6">
        <v>2</v>
      </c>
      <c r="E145">
        <v>1</v>
      </c>
      <c r="F145">
        <v>1</v>
      </c>
      <c r="G145" t="str">
        <f>A145 &amp; "-" &amp; C145 &amp; "-" &amp; D145 &amp; "-" &amp; E145 &amp; "-" &amp; F145</f>
        <v>ID_147-M-2-1-1</v>
      </c>
      <c r="H145" s="4">
        <v>0.59097222222222223</v>
      </c>
      <c r="I145" s="4">
        <v>0.59861111111111109</v>
      </c>
      <c r="J145" s="25">
        <f t="shared" si="10"/>
        <v>14.183333333333334</v>
      </c>
      <c r="K145" s="5">
        <v>34.200000000000003</v>
      </c>
      <c r="L145" s="5">
        <v>32.4</v>
      </c>
      <c r="M145" s="5">
        <f t="shared" si="11"/>
        <v>33.299999999999997</v>
      </c>
      <c r="N145">
        <v>21.9</v>
      </c>
      <c r="O145">
        <v>27.9</v>
      </c>
      <c r="P145">
        <v>31.4</v>
      </c>
      <c r="Q145">
        <f t="shared" si="12"/>
        <v>27.066666666666663</v>
      </c>
      <c r="R145" t="s">
        <v>30</v>
      </c>
      <c r="S145" t="s">
        <v>30</v>
      </c>
      <c r="T145">
        <v>3</v>
      </c>
      <c r="U145" t="s">
        <v>68</v>
      </c>
      <c r="V145" s="2" t="s">
        <v>245</v>
      </c>
      <c r="W145">
        <v>5</v>
      </c>
      <c r="X145" t="s">
        <v>28</v>
      </c>
      <c r="Y145" t="s">
        <v>28</v>
      </c>
      <c r="Z145">
        <v>1</v>
      </c>
      <c r="AA145">
        <v>0</v>
      </c>
      <c r="AB145">
        <v>0</v>
      </c>
      <c r="AC145">
        <v>1</v>
      </c>
      <c r="AD145">
        <v>0</v>
      </c>
      <c r="AE145">
        <v>0</v>
      </c>
      <c r="AF145">
        <v>0</v>
      </c>
      <c r="AG145">
        <v>1</v>
      </c>
      <c r="AH145">
        <v>1</v>
      </c>
      <c r="AI145">
        <v>1</v>
      </c>
      <c r="AJ145" t="s">
        <v>36</v>
      </c>
      <c r="AK145">
        <v>0</v>
      </c>
      <c r="AL145">
        <f t="shared" si="13"/>
        <v>5</v>
      </c>
      <c r="AM145">
        <v>1</v>
      </c>
      <c r="AN145">
        <v>0</v>
      </c>
      <c r="AO145">
        <f t="shared" si="14"/>
        <v>1</v>
      </c>
      <c r="AP145" t="s">
        <v>72</v>
      </c>
    </row>
    <row r="146" spans="1:42" x14ac:dyDescent="0.3">
      <c r="A146" t="s">
        <v>393</v>
      </c>
      <c r="B146" s="17">
        <v>45996</v>
      </c>
      <c r="C146" s="6" t="s">
        <v>238</v>
      </c>
      <c r="D146" s="6">
        <v>1</v>
      </c>
      <c r="E146">
        <v>1</v>
      </c>
      <c r="F146">
        <v>1</v>
      </c>
      <c r="G146" t="str">
        <f>A146 &amp; "-" &amp; C146 &amp; "-" &amp; D146 &amp; "-" &amp; E146 &amp; "-" &amp; F146</f>
        <v>ID_148-M-1-1-1</v>
      </c>
      <c r="H146" s="4">
        <v>0.45416666666666666</v>
      </c>
      <c r="I146" s="4">
        <v>0.46111111111111114</v>
      </c>
      <c r="J146" s="25">
        <f t="shared" si="10"/>
        <v>10.9</v>
      </c>
      <c r="K146" s="5">
        <v>29.5</v>
      </c>
      <c r="L146" s="5">
        <v>30.1</v>
      </c>
      <c r="M146" s="5">
        <f t="shared" si="11"/>
        <v>29.8</v>
      </c>
      <c r="N146">
        <v>21.9</v>
      </c>
      <c r="O146">
        <v>27.9</v>
      </c>
      <c r="P146">
        <v>31.4</v>
      </c>
      <c r="Q146">
        <f t="shared" si="12"/>
        <v>27.066666666666663</v>
      </c>
      <c r="R146" t="s">
        <v>30</v>
      </c>
      <c r="S146" t="s">
        <v>30</v>
      </c>
      <c r="T146">
        <v>3</v>
      </c>
      <c r="U146" t="s">
        <v>35</v>
      </c>
      <c r="V146" s="2" t="s">
        <v>245</v>
      </c>
      <c r="W146">
        <v>3</v>
      </c>
      <c r="X146" t="s">
        <v>28</v>
      </c>
      <c r="Y146" t="s">
        <v>28</v>
      </c>
      <c r="Z146">
        <v>1</v>
      </c>
      <c r="AA146">
        <v>0</v>
      </c>
      <c r="AB146">
        <v>0</v>
      </c>
      <c r="AC146">
        <v>0</v>
      </c>
      <c r="AD146">
        <v>1</v>
      </c>
      <c r="AE146">
        <v>0</v>
      </c>
      <c r="AF146">
        <v>0</v>
      </c>
      <c r="AG146">
        <v>1</v>
      </c>
      <c r="AH146">
        <v>0</v>
      </c>
      <c r="AI146">
        <v>1</v>
      </c>
      <c r="AJ146" t="s">
        <v>36</v>
      </c>
      <c r="AK146">
        <v>0</v>
      </c>
      <c r="AL146">
        <f t="shared" si="13"/>
        <v>4</v>
      </c>
      <c r="AM146">
        <v>0</v>
      </c>
      <c r="AN146">
        <v>0</v>
      </c>
      <c r="AO146">
        <f t="shared" si="14"/>
        <v>0</v>
      </c>
      <c r="AP146" t="s">
        <v>69</v>
      </c>
    </row>
    <row r="147" spans="1:42" x14ac:dyDescent="0.3">
      <c r="A147" t="s">
        <v>394</v>
      </c>
      <c r="B147" s="17">
        <v>45996</v>
      </c>
      <c r="C147" s="6" t="s">
        <v>238</v>
      </c>
      <c r="D147" s="6">
        <v>1</v>
      </c>
      <c r="E147">
        <v>1</v>
      </c>
      <c r="F147">
        <v>1</v>
      </c>
      <c r="G147" t="str">
        <f>A147 &amp; "-" &amp; C147 &amp; "-" &amp; D147 &amp; "-" &amp; E147 &amp; "-" &amp; F147</f>
        <v>ID_149-M-1-1-1</v>
      </c>
      <c r="H147" s="4">
        <v>0.45416666666666666</v>
      </c>
      <c r="I147" s="4">
        <v>0.46111111111111114</v>
      </c>
      <c r="J147" s="25">
        <f t="shared" si="10"/>
        <v>10.9</v>
      </c>
      <c r="K147" s="5">
        <v>29.5</v>
      </c>
      <c r="L147" s="5">
        <v>30.1</v>
      </c>
      <c r="M147" s="5">
        <f t="shared" si="11"/>
        <v>29.8</v>
      </c>
      <c r="N147">
        <v>21.9</v>
      </c>
      <c r="O147">
        <v>27.9</v>
      </c>
      <c r="P147">
        <v>31.4</v>
      </c>
      <c r="Q147">
        <f t="shared" si="12"/>
        <v>27.066666666666663</v>
      </c>
      <c r="R147" t="s">
        <v>30</v>
      </c>
      <c r="S147" t="s">
        <v>30</v>
      </c>
      <c r="T147">
        <v>3</v>
      </c>
      <c r="U147" t="s">
        <v>35</v>
      </c>
      <c r="V147" s="2" t="s">
        <v>245</v>
      </c>
      <c r="W147">
        <v>3</v>
      </c>
      <c r="X147" t="s">
        <v>28</v>
      </c>
      <c r="Y147" t="s">
        <v>28</v>
      </c>
      <c r="Z147">
        <v>1</v>
      </c>
      <c r="AA147">
        <v>0</v>
      </c>
      <c r="AB147">
        <v>0</v>
      </c>
      <c r="AC147">
        <v>1</v>
      </c>
      <c r="AD147">
        <v>0</v>
      </c>
      <c r="AE147">
        <v>0</v>
      </c>
      <c r="AF147">
        <v>0</v>
      </c>
      <c r="AG147">
        <v>1</v>
      </c>
      <c r="AH147">
        <v>0</v>
      </c>
      <c r="AI147">
        <v>1</v>
      </c>
      <c r="AJ147" t="s">
        <v>36</v>
      </c>
      <c r="AK147">
        <v>0</v>
      </c>
      <c r="AL147">
        <f t="shared" si="13"/>
        <v>4</v>
      </c>
      <c r="AM147">
        <v>0</v>
      </c>
      <c r="AN147">
        <v>0</v>
      </c>
      <c r="AO147">
        <f t="shared" si="14"/>
        <v>0</v>
      </c>
    </row>
    <row r="148" spans="1:42" x14ac:dyDescent="0.3">
      <c r="A148" t="s">
        <v>395</v>
      </c>
      <c r="B148" s="17">
        <v>45996</v>
      </c>
      <c r="C148" s="6" t="s">
        <v>238</v>
      </c>
      <c r="D148" s="6">
        <v>4</v>
      </c>
      <c r="E148">
        <v>1</v>
      </c>
      <c r="F148">
        <v>1</v>
      </c>
      <c r="G148" t="str">
        <f>A148 &amp; "-" &amp; C148 &amp; "-" &amp; D148 &amp; "-" &amp; E148 &amp; "-" &amp; F148</f>
        <v>ID_150-M-4-1-1</v>
      </c>
      <c r="H148" s="4">
        <v>0.47569444444444442</v>
      </c>
      <c r="I148" s="4">
        <v>0.4826388888888889</v>
      </c>
      <c r="J148" s="25">
        <f t="shared" si="10"/>
        <v>11.416666666666666</v>
      </c>
      <c r="K148" s="5">
        <v>29.6</v>
      </c>
      <c r="L148" s="5">
        <v>30.3</v>
      </c>
      <c r="M148" s="5">
        <f t="shared" si="11"/>
        <v>29.950000000000003</v>
      </c>
      <c r="N148">
        <v>21.9</v>
      </c>
      <c r="O148">
        <v>27.9</v>
      </c>
      <c r="P148">
        <v>31.4</v>
      </c>
      <c r="Q148">
        <f t="shared" si="12"/>
        <v>27.066666666666663</v>
      </c>
      <c r="R148" t="s">
        <v>27</v>
      </c>
      <c r="S148" t="s">
        <v>27</v>
      </c>
      <c r="T148">
        <v>4</v>
      </c>
      <c r="U148" t="s">
        <v>68</v>
      </c>
      <c r="V148" s="2" t="s">
        <v>245</v>
      </c>
      <c r="W148">
        <v>5</v>
      </c>
      <c r="X148" t="s">
        <v>28</v>
      </c>
      <c r="Y148" t="s">
        <v>28</v>
      </c>
      <c r="Z148">
        <v>0</v>
      </c>
      <c r="AA148">
        <v>0</v>
      </c>
      <c r="AB148">
        <v>0</v>
      </c>
      <c r="AC148">
        <v>1</v>
      </c>
      <c r="AD148">
        <v>0</v>
      </c>
      <c r="AE148">
        <v>0</v>
      </c>
      <c r="AF148">
        <v>0</v>
      </c>
      <c r="AG148">
        <v>1</v>
      </c>
      <c r="AH148">
        <v>0</v>
      </c>
      <c r="AI148">
        <v>1</v>
      </c>
      <c r="AJ148" t="s">
        <v>36</v>
      </c>
      <c r="AK148">
        <v>0</v>
      </c>
      <c r="AL148">
        <f t="shared" si="13"/>
        <v>3</v>
      </c>
      <c r="AM148">
        <v>2</v>
      </c>
      <c r="AN148">
        <v>0</v>
      </c>
      <c r="AO148">
        <f t="shared" si="14"/>
        <v>2</v>
      </c>
    </row>
    <row r="149" spans="1:42" x14ac:dyDescent="0.3">
      <c r="A149" t="s">
        <v>396</v>
      </c>
      <c r="B149" s="17">
        <v>45996</v>
      </c>
      <c r="C149" s="6" t="s">
        <v>238</v>
      </c>
      <c r="D149" s="6">
        <v>4</v>
      </c>
      <c r="E149">
        <v>1</v>
      </c>
      <c r="F149">
        <v>1</v>
      </c>
      <c r="G149" t="str">
        <f>A149 &amp; "-" &amp; C149 &amp; "-" &amp; D149 &amp; "-" &amp; E149 &amp; "-" &amp; F149</f>
        <v>ID_151-M-4-1-1</v>
      </c>
      <c r="H149" s="4">
        <v>0.47569444444444442</v>
      </c>
      <c r="I149" s="4">
        <v>0.4826388888888889</v>
      </c>
      <c r="J149" s="25">
        <f t="shared" si="10"/>
        <v>11.416666666666666</v>
      </c>
      <c r="K149" s="5">
        <v>29.6</v>
      </c>
      <c r="L149" s="5">
        <v>30.3</v>
      </c>
      <c r="M149" s="5">
        <f t="shared" si="11"/>
        <v>29.950000000000003</v>
      </c>
      <c r="N149">
        <v>21.9</v>
      </c>
      <c r="O149">
        <v>27.9</v>
      </c>
      <c r="P149">
        <v>31.4</v>
      </c>
      <c r="Q149">
        <f t="shared" si="12"/>
        <v>27.066666666666663</v>
      </c>
      <c r="R149" t="s">
        <v>27</v>
      </c>
      <c r="S149" t="s">
        <v>27</v>
      </c>
      <c r="T149">
        <v>4</v>
      </c>
      <c r="U149" t="s">
        <v>68</v>
      </c>
      <c r="V149" s="2" t="s">
        <v>245</v>
      </c>
      <c r="W149">
        <v>5</v>
      </c>
      <c r="X149" t="s">
        <v>28</v>
      </c>
      <c r="Y149" t="s">
        <v>28</v>
      </c>
      <c r="Z149">
        <v>1</v>
      </c>
      <c r="AA149">
        <v>0</v>
      </c>
      <c r="AB149">
        <v>0</v>
      </c>
      <c r="AC149">
        <v>1</v>
      </c>
      <c r="AD149">
        <v>0</v>
      </c>
      <c r="AE149">
        <v>0</v>
      </c>
      <c r="AF149">
        <v>0</v>
      </c>
      <c r="AG149">
        <v>1</v>
      </c>
      <c r="AH149">
        <v>0</v>
      </c>
      <c r="AI149">
        <v>1</v>
      </c>
      <c r="AJ149" t="s">
        <v>36</v>
      </c>
      <c r="AK149">
        <v>0</v>
      </c>
      <c r="AL149">
        <f t="shared" si="13"/>
        <v>4</v>
      </c>
      <c r="AM149">
        <v>0</v>
      </c>
      <c r="AN149">
        <v>0</v>
      </c>
      <c r="AO149">
        <f t="shared" si="14"/>
        <v>0</v>
      </c>
    </row>
    <row r="150" spans="1:42" x14ac:dyDescent="0.3">
      <c r="A150" t="s">
        <v>397</v>
      </c>
      <c r="B150" s="17">
        <v>45996</v>
      </c>
      <c r="C150" s="6" t="s">
        <v>238</v>
      </c>
      <c r="D150" s="6">
        <v>4</v>
      </c>
      <c r="E150">
        <v>1</v>
      </c>
      <c r="F150">
        <v>2</v>
      </c>
      <c r="G150" t="str">
        <f>A150 &amp; "-" &amp; C150 &amp; "-" &amp; D150 &amp; "-" &amp; E150 &amp; "-" &amp; F150</f>
        <v>ID_152-M-4-1-2</v>
      </c>
      <c r="H150" s="4">
        <v>0.48402777777777778</v>
      </c>
      <c r="I150" s="4">
        <v>0.4909722222222222</v>
      </c>
      <c r="J150" s="25">
        <f t="shared" si="10"/>
        <v>11.616666666666667</v>
      </c>
      <c r="K150" s="5">
        <v>30.3</v>
      </c>
      <c r="L150" s="5">
        <v>30.1</v>
      </c>
      <c r="M150" s="5">
        <f t="shared" si="11"/>
        <v>30.200000000000003</v>
      </c>
      <c r="N150">
        <v>21.9</v>
      </c>
      <c r="O150">
        <v>27.9</v>
      </c>
      <c r="P150">
        <v>31.4</v>
      </c>
      <c r="Q150">
        <f t="shared" si="12"/>
        <v>27.066666666666663</v>
      </c>
      <c r="R150" t="s">
        <v>27</v>
      </c>
      <c r="S150" t="s">
        <v>30</v>
      </c>
      <c r="T150">
        <v>4</v>
      </c>
      <c r="U150" t="s">
        <v>68</v>
      </c>
      <c r="V150" s="2" t="s">
        <v>245</v>
      </c>
      <c r="W150">
        <v>5</v>
      </c>
      <c r="X150" t="s">
        <v>28</v>
      </c>
      <c r="Y150" t="s">
        <v>28</v>
      </c>
      <c r="Z150">
        <v>1</v>
      </c>
      <c r="AA150">
        <v>0</v>
      </c>
      <c r="AB150">
        <v>0</v>
      </c>
      <c r="AC150">
        <v>1</v>
      </c>
      <c r="AD150">
        <v>1</v>
      </c>
      <c r="AE150">
        <v>0</v>
      </c>
      <c r="AF150">
        <v>0</v>
      </c>
      <c r="AG150">
        <v>1</v>
      </c>
      <c r="AH150">
        <v>0</v>
      </c>
      <c r="AI150">
        <v>0</v>
      </c>
      <c r="AJ150" t="s">
        <v>36</v>
      </c>
      <c r="AK150">
        <v>0</v>
      </c>
      <c r="AL150">
        <f t="shared" si="13"/>
        <v>4</v>
      </c>
      <c r="AM150">
        <v>8</v>
      </c>
      <c r="AN150">
        <v>0</v>
      </c>
      <c r="AO150">
        <f t="shared" si="14"/>
        <v>8</v>
      </c>
      <c r="AP150" t="s">
        <v>71</v>
      </c>
    </row>
    <row r="151" spans="1:42" x14ac:dyDescent="0.3">
      <c r="A151" t="s">
        <v>398</v>
      </c>
      <c r="B151" s="17">
        <v>45996</v>
      </c>
      <c r="C151" s="6" t="s">
        <v>238</v>
      </c>
      <c r="D151" s="6">
        <v>4</v>
      </c>
      <c r="E151">
        <v>1</v>
      </c>
      <c r="F151">
        <v>2</v>
      </c>
      <c r="G151" t="str">
        <f>A151 &amp; "-" &amp; C151 &amp; "-" &amp; D151 &amp; "-" &amp; E151 &amp; "-" &amp; F151</f>
        <v>ID_153-M-4-1-2</v>
      </c>
      <c r="H151" s="4">
        <v>0.48472222222222222</v>
      </c>
      <c r="I151" s="4">
        <v>0.49166666666666664</v>
      </c>
      <c r="J151" s="25">
        <f t="shared" si="10"/>
        <v>11.633333333333333</v>
      </c>
      <c r="K151" s="5">
        <v>30.3</v>
      </c>
      <c r="L151" s="5">
        <v>30.1</v>
      </c>
      <c r="M151" s="5">
        <f t="shared" si="11"/>
        <v>30.200000000000003</v>
      </c>
      <c r="N151">
        <v>21.9</v>
      </c>
      <c r="O151">
        <v>27.9</v>
      </c>
      <c r="P151">
        <v>31.4</v>
      </c>
      <c r="Q151">
        <f t="shared" si="12"/>
        <v>27.066666666666663</v>
      </c>
      <c r="R151" t="s">
        <v>27</v>
      </c>
      <c r="S151" t="s">
        <v>30</v>
      </c>
      <c r="T151">
        <v>4</v>
      </c>
      <c r="U151" t="s">
        <v>68</v>
      </c>
      <c r="V151" s="2" t="s">
        <v>245</v>
      </c>
      <c r="W151">
        <v>5</v>
      </c>
      <c r="X151" t="s">
        <v>28</v>
      </c>
      <c r="Y151" t="s">
        <v>28</v>
      </c>
      <c r="Z151">
        <v>1</v>
      </c>
      <c r="AA151">
        <v>1</v>
      </c>
      <c r="AB151">
        <v>1</v>
      </c>
      <c r="AC151">
        <v>1</v>
      </c>
      <c r="AD151">
        <v>1</v>
      </c>
      <c r="AE151">
        <v>0</v>
      </c>
      <c r="AF151">
        <v>0</v>
      </c>
      <c r="AG151">
        <v>1</v>
      </c>
      <c r="AH151">
        <v>0</v>
      </c>
      <c r="AI151">
        <v>1</v>
      </c>
      <c r="AJ151" t="s">
        <v>51</v>
      </c>
      <c r="AK151">
        <v>1</v>
      </c>
      <c r="AL151">
        <f t="shared" si="13"/>
        <v>8</v>
      </c>
      <c r="AM151">
        <v>1</v>
      </c>
      <c r="AN151">
        <v>0</v>
      </c>
      <c r="AO151">
        <f t="shared" si="14"/>
        <v>1</v>
      </c>
      <c r="AP151" t="s">
        <v>70</v>
      </c>
    </row>
    <row r="152" spans="1:42" x14ac:dyDescent="0.3">
      <c r="A152" t="s">
        <v>399</v>
      </c>
      <c r="B152" s="17">
        <v>45996</v>
      </c>
      <c r="C152" s="6" t="s">
        <v>238</v>
      </c>
      <c r="D152" s="6">
        <v>9</v>
      </c>
      <c r="E152">
        <v>1</v>
      </c>
      <c r="F152">
        <v>1</v>
      </c>
      <c r="G152" t="str">
        <f>A152 &amp; "-" &amp; C152 &amp; "-" &amp; D152 &amp; "-" &amp; E152 &amp; "-" &amp; F152</f>
        <v>ID_154-M-9-1-1</v>
      </c>
      <c r="H152" s="4">
        <v>0.55555555555555558</v>
      </c>
      <c r="I152" s="4">
        <v>0.56319444444444444</v>
      </c>
      <c r="J152" s="25">
        <f t="shared" si="10"/>
        <v>13.333333333333334</v>
      </c>
      <c r="K152" s="5">
        <v>32.299999999999997</v>
      </c>
      <c r="L152" s="5">
        <v>33.200000000000003</v>
      </c>
      <c r="M152" s="5">
        <f t="shared" si="11"/>
        <v>32.75</v>
      </c>
      <c r="N152">
        <v>21.9</v>
      </c>
      <c r="O152">
        <v>27.9</v>
      </c>
      <c r="P152">
        <v>31.4</v>
      </c>
      <c r="Q152">
        <f t="shared" si="12"/>
        <v>27.066666666666663</v>
      </c>
      <c r="R152" t="s">
        <v>32</v>
      </c>
      <c r="S152" t="s">
        <v>32</v>
      </c>
      <c r="T152">
        <v>2</v>
      </c>
      <c r="U152" t="s">
        <v>68</v>
      </c>
      <c r="V152" s="2" t="s">
        <v>245</v>
      </c>
      <c r="W152">
        <v>5</v>
      </c>
      <c r="X152" t="s">
        <v>28</v>
      </c>
      <c r="Y152" t="s">
        <v>28</v>
      </c>
      <c r="Z152">
        <v>1</v>
      </c>
      <c r="AA152">
        <v>0</v>
      </c>
      <c r="AB152">
        <v>1</v>
      </c>
      <c r="AC152">
        <v>0</v>
      </c>
      <c r="AD152">
        <v>0</v>
      </c>
      <c r="AE152">
        <v>0</v>
      </c>
      <c r="AF152">
        <v>0</v>
      </c>
      <c r="AG152">
        <v>0</v>
      </c>
      <c r="AH152">
        <v>0</v>
      </c>
      <c r="AI152">
        <v>0</v>
      </c>
      <c r="AJ152" t="s">
        <v>36</v>
      </c>
      <c r="AK152">
        <v>0</v>
      </c>
      <c r="AL152">
        <f t="shared" si="13"/>
        <v>2</v>
      </c>
      <c r="AM152">
        <v>2</v>
      </c>
      <c r="AN152">
        <v>0</v>
      </c>
      <c r="AO152">
        <f t="shared" si="14"/>
        <v>2</v>
      </c>
    </row>
    <row r="153" spans="1:42" x14ac:dyDescent="0.3">
      <c r="A153" t="s">
        <v>400</v>
      </c>
      <c r="B153" s="17">
        <v>45996</v>
      </c>
      <c r="C153" s="6" t="s">
        <v>238</v>
      </c>
      <c r="D153" s="6">
        <v>9</v>
      </c>
      <c r="E153">
        <v>1</v>
      </c>
      <c r="F153">
        <v>1</v>
      </c>
      <c r="G153" t="str">
        <f>A153 &amp; "-" &amp; C153 &amp; "-" &amp; D153 &amp; "-" &amp; E153 &amp; "-" &amp; F153</f>
        <v>ID_155-M-9-1-1</v>
      </c>
      <c r="H153" s="4">
        <v>0.55555555555555558</v>
      </c>
      <c r="I153" s="4">
        <v>0.5625</v>
      </c>
      <c r="J153" s="25">
        <f t="shared" si="10"/>
        <v>13.333333333333334</v>
      </c>
      <c r="K153" s="5">
        <v>32.9</v>
      </c>
      <c r="L153" s="5">
        <v>33.200000000000003</v>
      </c>
      <c r="M153" s="5">
        <f t="shared" si="11"/>
        <v>33.049999999999997</v>
      </c>
      <c r="N153">
        <v>21.9</v>
      </c>
      <c r="O153">
        <v>27.9</v>
      </c>
      <c r="P153">
        <v>31.4</v>
      </c>
      <c r="Q153">
        <f t="shared" si="12"/>
        <v>27.066666666666663</v>
      </c>
      <c r="R153" t="s">
        <v>32</v>
      </c>
      <c r="S153" t="s">
        <v>32</v>
      </c>
      <c r="T153">
        <v>2</v>
      </c>
      <c r="U153" t="s">
        <v>68</v>
      </c>
      <c r="V153" s="2" t="s">
        <v>245</v>
      </c>
      <c r="W153">
        <v>5</v>
      </c>
      <c r="X153" t="s">
        <v>28</v>
      </c>
      <c r="Y153" t="s">
        <v>28</v>
      </c>
      <c r="Z153">
        <v>1</v>
      </c>
      <c r="AA153">
        <v>0</v>
      </c>
      <c r="AB153">
        <v>1</v>
      </c>
      <c r="AC153">
        <v>1</v>
      </c>
      <c r="AD153">
        <v>0</v>
      </c>
      <c r="AE153">
        <v>0</v>
      </c>
      <c r="AF153">
        <v>0</v>
      </c>
      <c r="AG153">
        <v>1</v>
      </c>
      <c r="AH153">
        <v>0</v>
      </c>
      <c r="AI153">
        <v>0</v>
      </c>
      <c r="AJ153" t="s">
        <v>36</v>
      </c>
      <c r="AK153">
        <v>0</v>
      </c>
      <c r="AL153">
        <f t="shared" si="13"/>
        <v>4</v>
      </c>
      <c r="AM153">
        <v>1</v>
      </c>
      <c r="AN153">
        <v>0</v>
      </c>
      <c r="AO153">
        <f t="shared" si="14"/>
        <v>1</v>
      </c>
    </row>
    <row r="154" spans="1:42" x14ac:dyDescent="0.3">
      <c r="A154" t="s">
        <v>401</v>
      </c>
      <c r="B154" s="17">
        <v>45996</v>
      </c>
      <c r="C154" s="6" t="s">
        <v>238</v>
      </c>
      <c r="D154" s="6">
        <v>9</v>
      </c>
      <c r="E154">
        <v>1</v>
      </c>
      <c r="F154">
        <v>2</v>
      </c>
      <c r="G154" t="str">
        <f>A154 &amp; "-" &amp; C154 &amp; "-" &amp; D154 &amp; "-" &amp; E154 &amp; "-" &amp; F154</f>
        <v>ID_156-M-9-1-2</v>
      </c>
      <c r="H154" s="4">
        <v>0.56597222222222221</v>
      </c>
      <c r="I154" s="4">
        <v>0.57430555555555551</v>
      </c>
      <c r="J154" s="25">
        <f t="shared" si="10"/>
        <v>13.583333333333334</v>
      </c>
      <c r="K154" s="5">
        <v>33.200000000000003</v>
      </c>
      <c r="L154" s="5">
        <v>33.4</v>
      </c>
      <c r="M154" s="5">
        <f t="shared" si="11"/>
        <v>33.299999999999997</v>
      </c>
      <c r="N154">
        <v>21.9</v>
      </c>
      <c r="O154">
        <v>27.9</v>
      </c>
      <c r="P154">
        <v>31.4</v>
      </c>
      <c r="Q154">
        <f t="shared" si="12"/>
        <v>27.066666666666663</v>
      </c>
      <c r="R154" t="s">
        <v>32</v>
      </c>
      <c r="S154" t="s">
        <v>32</v>
      </c>
      <c r="T154">
        <v>2</v>
      </c>
      <c r="U154" t="s">
        <v>68</v>
      </c>
      <c r="V154" s="2" t="s">
        <v>245</v>
      </c>
      <c r="W154">
        <v>5</v>
      </c>
      <c r="X154" t="s">
        <v>28</v>
      </c>
      <c r="Y154" t="s">
        <v>28</v>
      </c>
      <c r="Z154">
        <v>1</v>
      </c>
      <c r="AA154">
        <v>0</v>
      </c>
      <c r="AB154">
        <v>0</v>
      </c>
      <c r="AC154">
        <v>1</v>
      </c>
      <c r="AD154">
        <v>1</v>
      </c>
      <c r="AE154">
        <v>0</v>
      </c>
      <c r="AF154">
        <v>0</v>
      </c>
      <c r="AG154">
        <v>1</v>
      </c>
      <c r="AH154">
        <v>0</v>
      </c>
      <c r="AI154">
        <v>0</v>
      </c>
      <c r="AJ154" t="s">
        <v>51</v>
      </c>
      <c r="AK154">
        <v>1</v>
      </c>
      <c r="AL154">
        <f t="shared" si="13"/>
        <v>5</v>
      </c>
      <c r="AM154">
        <v>0</v>
      </c>
      <c r="AN154">
        <v>0</v>
      </c>
      <c r="AO154">
        <f t="shared" si="14"/>
        <v>0</v>
      </c>
    </row>
    <row r="155" spans="1:42" x14ac:dyDescent="0.3">
      <c r="A155" t="s">
        <v>402</v>
      </c>
      <c r="B155" s="17">
        <v>45996</v>
      </c>
      <c r="C155" s="6" t="s">
        <v>238</v>
      </c>
      <c r="D155" s="6">
        <v>9</v>
      </c>
      <c r="E155">
        <v>1</v>
      </c>
      <c r="F155">
        <v>2</v>
      </c>
      <c r="G155" t="str">
        <f>A155 &amp; "-" &amp; C155 &amp; "-" &amp; D155 &amp; "-" &amp; E155 &amp; "-" &amp; F155</f>
        <v>ID_157-M-9-1-2</v>
      </c>
      <c r="H155" s="4">
        <v>0.56597222222222221</v>
      </c>
      <c r="I155" s="4">
        <v>0.57291666666666663</v>
      </c>
      <c r="J155" s="25">
        <f t="shared" si="10"/>
        <v>13.583333333333334</v>
      </c>
      <c r="K155" s="5">
        <v>33.200000000000003</v>
      </c>
      <c r="L155" s="5">
        <v>33.4</v>
      </c>
      <c r="M155" s="5">
        <f t="shared" si="11"/>
        <v>33.299999999999997</v>
      </c>
      <c r="N155">
        <v>21.9</v>
      </c>
      <c r="O155">
        <v>27.9</v>
      </c>
      <c r="P155">
        <v>31.4</v>
      </c>
      <c r="Q155">
        <f t="shared" si="12"/>
        <v>27.066666666666663</v>
      </c>
      <c r="R155" t="s">
        <v>32</v>
      </c>
      <c r="S155" t="s">
        <v>32</v>
      </c>
      <c r="T155">
        <v>2</v>
      </c>
      <c r="U155" t="s">
        <v>68</v>
      </c>
      <c r="V155" s="2" t="s">
        <v>245</v>
      </c>
      <c r="W155">
        <v>5</v>
      </c>
      <c r="X155" t="s">
        <v>28</v>
      </c>
      <c r="Y155" t="s">
        <v>28</v>
      </c>
      <c r="Z155">
        <v>1</v>
      </c>
      <c r="AA155">
        <v>0</v>
      </c>
      <c r="AB155">
        <v>0</v>
      </c>
      <c r="AC155">
        <v>1</v>
      </c>
      <c r="AD155">
        <v>0</v>
      </c>
      <c r="AE155">
        <v>0</v>
      </c>
      <c r="AF155">
        <v>0</v>
      </c>
      <c r="AG155">
        <v>1</v>
      </c>
      <c r="AH155">
        <v>1</v>
      </c>
      <c r="AI155">
        <v>1</v>
      </c>
      <c r="AJ155" t="s">
        <v>36</v>
      </c>
      <c r="AK155">
        <v>0</v>
      </c>
      <c r="AL155">
        <f t="shared" si="13"/>
        <v>5</v>
      </c>
      <c r="AM155">
        <v>0</v>
      </c>
      <c r="AN155">
        <v>0</v>
      </c>
      <c r="AO155">
        <f t="shared" si="14"/>
        <v>0</v>
      </c>
    </row>
    <row r="156" spans="1:42" x14ac:dyDescent="0.3">
      <c r="A156" t="s">
        <v>403</v>
      </c>
      <c r="B156" s="17">
        <v>45997</v>
      </c>
      <c r="C156" s="6" t="s">
        <v>236</v>
      </c>
      <c r="D156" s="6">
        <v>1</v>
      </c>
      <c r="E156">
        <v>1</v>
      </c>
      <c r="F156">
        <v>1</v>
      </c>
      <c r="G156" t="str">
        <f>A156 &amp; "-" &amp; C156 &amp; "-" &amp; D156 &amp; "-" &amp; E156 &amp; "-" &amp; F156</f>
        <v>ID_158-G-1-1-1</v>
      </c>
      <c r="H156" s="4">
        <v>0.52013888888888893</v>
      </c>
      <c r="I156" s="4">
        <v>0.52777777777777779</v>
      </c>
      <c r="J156" s="25">
        <f t="shared" si="10"/>
        <v>12.483333333333333</v>
      </c>
      <c r="K156" s="5">
        <v>34.1</v>
      </c>
      <c r="L156" s="5">
        <v>34.4</v>
      </c>
      <c r="M156" s="5">
        <f t="shared" si="11"/>
        <v>34.25</v>
      </c>
      <c r="N156">
        <v>27.9</v>
      </c>
      <c r="O156">
        <v>31.4</v>
      </c>
      <c r="P156">
        <v>36</v>
      </c>
      <c r="Q156">
        <f t="shared" si="12"/>
        <v>31.766666666666666</v>
      </c>
      <c r="R156" t="s">
        <v>32</v>
      </c>
      <c r="S156" t="s">
        <v>32</v>
      </c>
      <c r="T156">
        <v>2</v>
      </c>
      <c r="U156" t="s">
        <v>35</v>
      </c>
      <c r="V156" t="s">
        <v>35</v>
      </c>
      <c r="W156">
        <v>3</v>
      </c>
      <c r="X156" t="s">
        <v>28</v>
      </c>
      <c r="Y156" t="s">
        <v>28</v>
      </c>
      <c r="Z156">
        <v>1</v>
      </c>
      <c r="AA156">
        <v>0</v>
      </c>
      <c r="AB156">
        <v>0</v>
      </c>
      <c r="AC156">
        <v>1</v>
      </c>
      <c r="AD156">
        <v>1</v>
      </c>
      <c r="AE156">
        <v>1</v>
      </c>
      <c r="AF156">
        <v>0</v>
      </c>
      <c r="AG156">
        <v>1</v>
      </c>
      <c r="AH156">
        <v>1</v>
      </c>
      <c r="AI156">
        <v>0</v>
      </c>
      <c r="AJ156" t="s">
        <v>81</v>
      </c>
      <c r="AK156">
        <v>1</v>
      </c>
      <c r="AL156">
        <f t="shared" si="13"/>
        <v>7</v>
      </c>
      <c r="AM156">
        <v>2</v>
      </c>
      <c r="AN156">
        <v>0</v>
      </c>
      <c r="AO156">
        <f t="shared" si="14"/>
        <v>2</v>
      </c>
      <c r="AP156" t="s">
        <v>82</v>
      </c>
    </row>
    <row r="157" spans="1:42" x14ac:dyDescent="0.3">
      <c r="A157" t="s">
        <v>404</v>
      </c>
      <c r="B157" s="22">
        <v>45997</v>
      </c>
      <c r="C157" s="6" t="s">
        <v>236</v>
      </c>
      <c r="D157" s="6">
        <v>1</v>
      </c>
      <c r="E157">
        <v>2</v>
      </c>
      <c r="F157">
        <v>1</v>
      </c>
      <c r="G157" t="str">
        <f>A157 &amp; "-" &amp; C157 &amp; "-" &amp; D157 &amp; "-" &amp; E157 &amp; "-" &amp; F157</f>
        <v>ID_159-G-1-2-1</v>
      </c>
      <c r="H157" s="4">
        <v>0.54652777777777772</v>
      </c>
      <c r="I157" s="4">
        <v>0.55347222222222225</v>
      </c>
      <c r="J157" s="25">
        <f t="shared" si="10"/>
        <v>13.116666666666667</v>
      </c>
      <c r="K157" s="5">
        <v>33</v>
      </c>
      <c r="L157" s="5">
        <v>33.200000000000003</v>
      </c>
      <c r="M157" s="5">
        <f t="shared" si="11"/>
        <v>33.1</v>
      </c>
      <c r="N157">
        <v>27.9</v>
      </c>
      <c r="O157">
        <v>31.4</v>
      </c>
      <c r="P157">
        <v>36</v>
      </c>
      <c r="Q157">
        <f t="shared" si="12"/>
        <v>31.766666666666666</v>
      </c>
      <c r="R157" t="s">
        <v>25</v>
      </c>
      <c r="S157" t="s">
        <v>25</v>
      </c>
      <c r="T157">
        <v>5</v>
      </c>
      <c r="U157" t="s">
        <v>35</v>
      </c>
      <c r="V157" t="s">
        <v>31</v>
      </c>
      <c r="W157">
        <v>3</v>
      </c>
      <c r="X157" t="s">
        <v>28</v>
      </c>
      <c r="Y157" t="s">
        <v>28</v>
      </c>
      <c r="Z157">
        <v>1</v>
      </c>
      <c r="AA157">
        <v>0</v>
      </c>
      <c r="AB157">
        <v>0</v>
      </c>
      <c r="AC157">
        <v>0</v>
      </c>
      <c r="AD157">
        <v>0</v>
      </c>
      <c r="AE157">
        <v>0</v>
      </c>
      <c r="AF157">
        <v>0</v>
      </c>
      <c r="AG157">
        <v>1</v>
      </c>
      <c r="AH157">
        <v>0</v>
      </c>
      <c r="AI157">
        <v>1</v>
      </c>
      <c r="AJ157" t="s">
        <v>83</v>
      </c>
      <c r="AK157">
        <v>1</v>
      </c>
      <c r="AL157">
        <f t="shared" si="13"/>
        <v>4</v>
      </c>
      <c r="AM157">
        <v>2</v>
      </c>
      <c r="AN157">
        <v>0</v>
      </c>
      <c r="AO157">
        <f t="shared" si="14"/>
        <v>2</v>
      </c>
      <c r="AP157" t="s">
        <v>84</v>
      </c>
    </row>
    <row r="158" spans="1:42" x14ac:dyDescent="0.3">
      <c r="A158" t="s">
        <v>405</v>
      </c>
      <c r="B158" s="17">
        <v>45997</v>
      </c>
      <c r="C158" s="6" t="s">
        <v>236</v>
      </c>
      <c r="D158" s="6">
        <v>2</v>
      </c>
      <c r="E158">
        <v>1</v>
      </c>
      <c r="F158">
        <v>1</v>
      </c>
      <c r="G158" t="str">
        <f>A158 &amp; "-" &amp; C158 &amp; "-" &amp; D158 &amp; "-" &amp; E158 &amp; "-" &amp; F158</f>
        <v>ID_160-G-2-1-1</v>
      </c>
      <c r="H158" s="4">
        <v>0.44166666666666665</v>
      </c>
      <c r="I158" s="4">
        <v>0.44930555555555557</v>
      </c>
      <c r="J158" s="25">
        <f t="shared" si="10"/>
        <v>10.6</v>
      </c>
      <c r="K158" s="5">
        <v>31.4</v>
      </c>
      <c r="L158" s="5">
        <v>32.1</v>
      </c>
      <c r="M158" s="5">
        <f t="shared" si="11"/>
        <v>31.75</v>
      </c>
      <c r="N158">
        <v>27.9</v>
      </c>
      <c r="O158">
        <v>31.4</v>
      </c>
      <c r="P158">
        <v>36</v>
      </c>
      <c r="Q158">
        <f t="shared" si="12"/>
        <v>31.766666666666666</v>
      </c>
      <c r="R158" t="s">
        <v>30</v>
      </c>
      <c r="S158" t="s">
        <v>30</v>
      </c>
      <c r="T158">
        <v>3</v>
      </c>
      <c r="U158" t="s">
        <v>35</v>
      </c>
      <c r="V158" t="s">
        <v>31</v>
      </c>
      <c r="W158">
        <v>3</v>
      </c>
      <c r="X158" t="s">
        <v>28</v>
      </c>
      <c r="Y158" t="s">
        <v>28</v>
      </c>
      <c r="Z158">
        <v>1</v>
      </c>
      <c r="AA158">
        <v>0</v>
      </c>
      <c r="AB158">
        <v>0</v>
      </c>
      <c r="AC158">
        <v>1</v>
      </c>
      <c r="AD158">
        <v>0</v>
      </c>
      <c r="AE158">
        <v>0</v>
      </c>
      <c r="AF158">
        <v>0</v>
      </c>
      <c r="AG158">
        <v>1</v>
      </c>
      <c r="AH158">
        <v>0</v>
      </c>
      <c r="AI158">
        <v>1</v>
      </c>
      <c r="AJ158" t="s">
        <v>66</v>
      </c>
      <c r="AK158">
        <v>1</v>
      </c>
      <c r="AL158">
        <f t="shared" si="13"/>
        <v>5</v>
      </c>
      <c r="AM158">
        <v>0</v>
      </c>
      <c r="AN158">
        <v>0</v>
      </c>
      <c r="AO158">
        <f t="shared" si="14"/>
        <v>0</v>
      </c>
    </row>
    <row r="159" spans="1:42" x14ac:dyDescent="0.3">
      <c r="A159" t="s">
        <v>406</v>
      </c>
      <c r="B159" s="17">
        <v>45997</v>
      </c>
      <c r="C159" s="6" t="s">
        <v>236</v>
      </c>
      <c r="D159" s="6">
        <v>2</v>
      </c>
      <c r="E159">
        <v>1</v>
      </c>
      <c r="F159">
        <v>2</v>
      </c>
      <c r="G159" t="str">
        <f>A159 &amp; "-" &amp; C159 &amp; "-" &amp; D159 &amp; "-" &amp; E159 &amp; "-" &amp; F159</f>
        <v>ID_161-G-2-1-2</v>
      </c>
      <c r="H159" s="4">
        <v>0.45069444444444445</v>
      </c>
      <c r="I159" s="4">
        <v>0.45833333333333331</v>
      </c>
      <c r="J159" s="25">
        <f t="shared" si="10"/>
        <v>10.816666666666666</v>
      </c>
      <c r="K159" s="5">
        <v>32.1</v>
      </c>
      <c r="L159" s="5">
        <v>31.9</v>
      </c>
      <c r="M159" s="5">
        <f t="shared" si="11"/>
        <v>32</v>
      </c>
      <c r="N159">
        <v>27.9</v>
      </c>
      <c r="O159">
        <v>31.4</v>
      </c>
      <c r="P159">
        <v>36</v>
      </c>
      <c r="Q159">
        <f t="shared" si="12"/>
        <v>31.766666666666666</v>
      </c>
      <c r="R159" t="s">
        <v>30</v>
      </c>
      <c r="S159" t="s">
        <v>32</v>
      </c>
      <c r="T159">
        <v>3</v>
      </c>
      <c r="U159" t="s">
        <v>31</v>
      </c>
      <c r="V159" t="s">
        <v>35</v>
      </c>
      <c r="W159">
        <v>4</v>
      </c>
      <c r="X159" t="s">
        <v>28</v>
      </c>
      <c r="Y159" t="s">
        <v>28</v>
      </c>
      <c r="Z159">
        <v>1</v>
      </c>
      <c r="AA159">
        <v>0</v>
      </c>
      <c r="AB159">
        <v>0</v>
      </c>
      <c r="AC159">
        <v>1</v>
      </c>
      <c r="AD159">
        <v>0</v>
      </c>
      <c r="AE159">
        <v>0</v>
      </c>
      <c r="AF159">
        <v>1</v>
      </c>
      <c r="AG159">
        <v>1</v>
      </c>
      <c r="AH159">
        <v>0</v>
      </c>
      <c r="AI159">
        <v>1</v>
      </c>
      <c r="AJ159" t="s">
        <v>36</v>
      </c>
      <c r="AK159">
        <v>0</v>
      </c>
      <c r="AL159">
        <f t="shared" si="13"/>
        <v>5</v>
      </c>
      <c r="AM159">
        <v>2</v>
      </c>
      <c r="AN159">
        <v>0</v>
      </c>
      <c r="AO159">
        <f t="shared" si="14"/>
        <v>2</v>
      </c>
      <c r="AP159" t="s">
        <v>67</v>
      </c>
    </row>
    <row r="160" spans="1:42" x14ac:dyDescent="0.3">
      <c r="A160" t="s">
        <v>407</v>
      </c>
      <c r="B160" s="17">
        <v>45997</v>
      </c>
      <c r="C160" s="6" t="s">
        <v>236</v>
      </c>
      <c r="D160" s="6">
        <v>4</v>
      </c>
      <c r="E160">
        <v>1</v>
      </c>
      <c r="F160">
        <v>1</v>
      </c>
      <c r="G160" t="str">
        <f>A160 &amp; "-" &amp; C160 &amp; "-" &amp; D160 &amp; "-" &amp; E160 &amp; "-" &amp; F160</f>
        <v>ID_162-G-4-1-1</v>
      </c>
      <c r="H160" s="4">
        <v>0.40902777777777777</v>
      </c>
      <c r="I160" s="4">
        <v>0.41597222222222224</v>
      </c>
      <c r="J160" s="25">
        <f t="shared" si="10"/>
        <v>9.8166666666666664</v>
      </c>
      <c r="K160" s="5">
        <v>29.9</v>
      </c>
      <c r="L160" s="5">
        <v>30.5</v>
      </c>
      <c r="M160" s="5">
        <f t="shared" si="11"/>
        <v>30.2</v>
      </c>
      <c r="N160">
        <v>27.9</v>
      </c>
      <c r="O160">
        <v>31.4</v>
      </c>
      <c r="P160">
        <v>36</v>
      </c>
      <c r="Q160">
        <f t="shared" si="12"/>
        <v>31.766666666666666</v>
      </c>
      <c r="R160" t="s">
        <v>50</v>
      </c>
      <c r="S160" t="s">
        <v>50</v>
      </c>
      <c r="T160">
        <v>1</v>
      </c>
      <c r="U160" t="s">
        <v>35</v>
      </c>
      <c r="V160" s="2" t="s">
        <v>245</v>
      </c>
      <c r="W160">
        <v>3</v>
      </c>
      <c r="X160" t="s">
        <v>28</v>
      </c>
      <c r="Y160" t="s">
        <v>28</v>
      </c>
      <c r="Z160">
        <v>1</v>
      </c>
      <c r="AA160">
        <v>0</v>
      </c>
      <c r="AB160">
        <v>0</v>
      </c>
      <c r="AC160">
        <v>1</v>
      </c>
      <c r="AD160">
        <v>1</v>
      </c>
      <c r="AE160">
        <v>0</v>
      </c>
      <c r="AF160">
        <v>0</v>
      </c>
      <c r="AG160">
        <v>1</v>
      </c>
      <c r="AH160">
        <v>1</v>
      </c>
      <c r="AI160">
        <v>1</v>
      </c>
      <c r="AJ160" t="s">
        <v>36</v>
      </c>
      <c r="AK160">
        <v>0</v>
      </c>
      <c r="AL160">
        <f t="shared" si="13"/>
        <v>6</v>
      </c>
      <c r="AM160">
        <v>0</v>
      </c>
      <c r="AN160">
        <v>0</v>
      </c>
      <c r="AO160">
        <f t="shared" si="14"/>
        <v>0</v>
      </c>
    </row>
    <row r="161" spans="1:43" x14ac:dyDescent="0.3">
      <c r="A161" t="s">
        <v>408</v>
      </c>
      <c r="B161" s="17">
        <v>45997</v>
      </c>
      <c r="C161" s="6" t="s">
        <v>236</v>
      </c>
      <c r="D161" s="6">
        <v>4</v>
      </c>
      <c r="E161">
        <v>2</v>
      </c>
      <c r="F161">
        <v>1</v>
      </c>
      <c r="G161" t="str">
        <f>A161 &amp; "-" &amp; C161 &amp; "-" &amp; D161 &amp; "-" &amp; E161 &amp; "-" &amp; F161</f>
        <v>ID_163-G-4-2-1</v>
      </c>
      <c r="H161" s="4">
        <v>0.41875000000000001</v>
      </c>
      <c r="I161" s="4">
        <v>0.42638888888888887</v>
      </c>
      <c r="J161" s="25">
        <f t="shared" si="10"/>
        <v>10.050000000000001</v>
      </c>
      <c r="K161" s="5">
        <v>30.5</v>
      </c>
      <c r="L161" s="5">
        <v>31</v>
      </c>
      <c r="M161" s="5">
        <f t="shared" si="11"/>
        <v>30.75</v>
      </c>
      <c r="N161">
        <v>27.9</v>
      </c>
      <c r="O161">
        <v>31.4</v>
      </c>
      <c r="P161">
        <v>36</v>
      </c>
      <c r="Q161">
        <f t="shared" si="12"/>
        <v>31.766666666666666</v>
      </c>
      <c r="R161" t="s">
        <v>50</v>
      </c>
      <c r="S161" t="s">
        <v>50</v>
      </c>
      <c r="T161">
        <v>1</v>
      </c>
      <c r="U161" t="s">
        <v>35</v>
      </c>
      <c r="V161" s="2" t="s">
        <v>245</v>
      </c>
      <c r="W161">
        <v>3</v>
      </c>
      <c r="X161" t="s">
        <v>28</v>
      </c>
      <c r="Y161" t="s">
        <v>28</v>
      </c>
      <c r="Z161">
        <v>1</v>
      </c>
      <c r="AA161">
        <v>0</v>
      </c>
      <c r="AB161">
        <v>0</v>
      </c>
      <c r="AC161">
        <v>1</v>
      </c>
      <c r="AD161">
        <v>1</v>
      </c>
      <c r="AE161">
        <v>0</v>
      </c>
      <c r="AF161">
        <v>1</v>
      </c>
      <c r="AG161">
        <v>1</v>
      </c>
      <c r="AH161">
        <v>0</v>
      </c>
      <c r="AI161">
        <v>1</v>
      </c>
      <c r="AJ161" t="s">
        <v>214</v>
      </c>
      <c r="AK161">
        <v>2</v>
      </c>
      <c r="AL161">
        <f t="shared" si="13"/>
        <v>8</v>
      </c>
      <c r="AM161">
        <v>0</v>
      </c>
      <c r="AN161">
        <v>0</v>
      </c>
      <c r="AO161">
        <f t="shared" si="14"/>
        <v>0</v>
      </c>
    </row>
    <row r="162" spans="1:43" x14ac:dyDescent="0.3">
      <c r="A162" t="s">
        <v>409</v>
      </c>
      <c r="B162" s="17">
        <v>45997</v>
      </c>
      <c r="C162" s="6" t="s">
        <v>236</v>
      </c>
      <c r="D162" s="6">
        <v>7</v>
      </c>
      <c r="E162">
        <v>1</v>
      </c>
      <c r="F162">
        <v>1</v>
      </c>
      <c r="G162" t="str">
        <f>A162 &amp; "-" &amp; C162 &amp; "-" &amp; D162 &amp; "-" &amp; E162 &amp; "-" &amp; F162</f>
        <v>ID_164-G-7-1-1</v>
      </c>
      <c r="H162" s="4">
        <v>0.6020833333333333</v>
      </c>
      <c r="I162" s="4">
        <v>0.60972222222222228</v>
      </c>
      <c r="J162" s="25">
        <f t="shared" si="10"/>
        <v>14.45</v>
      </c>
      <c r="K162" s="5">
        <v>33.4</v>
      </c>
      <c r="L162" s="5">
        <v>33.4</v>
      </c>
      <c r="M162" s="5">
        <f t="shared" si="11"/>
        <v>33.4</v>
      </c>
      <c r="N162">
        <v>27.9</v>
      </c>
      <c r="O162">
        <v>31.4</v>
      </c>
      <c r="P162">
        <v>36</v>
      </c>
      <c r="Q162">
        <f t="shared" si="12"/>
        <v>31.766666666666666</v>
      </c>
      <c r="R162" t="s">
        <v>32</v>
      </c>
      <c r="S162" t="s">
        <v>27</v>
      </c>
      <c r="T162">
        <v>2</v>
      </c>
      <c r="U162" t="s">
        <v>26</v>
      </c>
      <c r="V162" t="s">
        <v>35</v>
      </c>
      <c r="W162">
        <v>2</v>
      </c>
      <c r="X162" t="s">
        <v>28</v>
      </c>
      <c r="Y162" t="s">
        <v>28</v>
      </c>
      <c r="Z162">
        <v>1</v>
      </c>
      <c r="AA162">
        <v>0</v>
      </c>
      <c r="AB162">
        <v>0</v>
      </c>
      <c r="AC162">
        <v>1</v>
      </c>
      <c r="AD162">
        <v>0</v>
      </c>
      <c r="AE162">
        <v>0</v>
      </c>
      <c r="AF162">
        <v>1</v>
      </c>
      <c r="AG162">
        <v>1</v>
      </c>
      <c r="AH162">
        <v>0</v>
      </c>
      <c r="AI162">
        <v>1</v>
      </c>
      <c r="AJ162" t="s">
        <v>36</v>
      </c>
      <c r="AK162">
        <v>0</v>
      </c>
      <c r="AL162">
        <f t="shared" si="13"/>
        <v>5</v>
      </c>
      <c r="AM162">
        <v>0</v>
      </c>
      <c r="AN162">
        <v>0</v>
      </c>
      <c r="AO162">
        <f t="shared" si="14"/>
        <v>0</v>
      </c>
    </row>
    <row r="163" spans="1:43" x14ac:dyDescent="0.3">
      <c r="A163" t="s">
        <v>410</v>
      </c>
      <c r="B163" s="17">
        <v>45997</v>
      </c>
      <c r="C163" s="6" t="s">
        <v>236</v>
      </c>
      <c r="D163" s="6">
        <v>7</v>
      </c>
      <c r="E163">
        <v>2</v>
      </c>
      <c r="F163">
        <v>1</v>
      </c>
      <c r="G163" t="str">
        <f>A163 &amp; "-" &amp; C163 &amp; "-" &amp; D163 &amp; "-" &amp; E163 &amp; "-" &amp; F163</f>
        <v>ID_165-G-7-2-1</v>
      </c>
      <c r="H163" s="4">
        <v>0.61250000000000004</v>
      </c>
      <c r="I163" s="4">
        <v>0.61944444444444446</v>
      </c>
      <c r="J163" s="25">
        <f t="shared" si="10"/>
        <v>14.7</v>
      </c>
      <c r="K163" s="5">
        <v>33.4</v>
      </c>
      <c r="L163" s="5">
        <v>33.5</v>
      </c>
      <c r="M163" s="5">
        <f t="shared" si="11"/>
        <v>33.450000000000003</v>
      </c>
      <c r="N163">
        <v>27.9</v>
      </c>
      <c r="O163">
        <v>31.4</v>
      </c>
      <c r="P163">
        <v>36</v>
      </c>
      <c r="Q163">
        <f t="shared" si="12"/>
        <v>31.766666666666666</v>
      </c>
      <c r="R163" t="s">
        <v>27</v>
      </c>
      <c r="S163" t="s">
        <v>27</v>
      </c>
      <c r="T163">
        <v>4</v>
      </c>
      <c r="U163" t="s">
        <v>26</v>
      </c>
      <c r="V163" t="s">
        <v>26</v>
      </c>
      <c r="W163">
        <v>2</v>
      </c>
      <c r="X163" t="s">
        <v>28</v>
      </c>
      <c r="Y163" t="s">
        <v>28</v>
      </c>
      <c r="Z163">
        <v>1</v>
      </c>
      <c r="AA163">
        <v>0</v>
      </c>
      <c r="AB163">
        <v>0</v>
      </c>
      <c r="AC163">
        <v>1</v>
      </c>
      <c r="AD163">
        <v>0</v>
      </c>
      <c r="AE163">
        <v>0</v>
      </c>
      <c r="AF163">
        <v>0</v>
      </c>
      <c r="AG163">
        <v>1</v>
      </c>
      <c r="AH163">
        <v>1</v>
      </c>
      <c r="AI163">
        <v>0</v>
      </c>
      <c r="AJ163" t="s">
        <v>36</v>
      </c>
      <c r="AK163">
        <v>0</v>
      </c>
      <c r="AL163">
        <f t="shared" si="13"/>
        <v>4</v>
      </c>
      <c r="AM163">
        <v>0</v>
      </c>
      <c r="AN163">
        <v>0</v>
      </c>
      <c r="AO163">
        <f t="shared" si="14"/>
        <v>0</v>
      </c>
    </row>
    <row r="164" spans="1:43" x14ac:dyDescent="0.3">
      <c r="A164" t="s">
        <v>411</v>
      </c>
      <c r="B164" s="17">
        <v>45998</v>
      </c>
      <c r="C164" s="6" t="s">
        <v>238</v>
      </c>
      <c r="D164" s="6">
        <v>4</v>
      </c>
      <c r="E164">
        <v>1</v>
      </c>
      <c r="F164">
        <v>1</v>
      </c>
      <c r="G164" t="str">
        <f>A164 &amp; "-" &amp; C164 &amp; "-" &amp; D164 &amp; "-" &amp; E164 &amp; "-" &amp; F164</f>
        <v>ID_166-M-4-1-1</v>
      </c>
      <c r="H164" s="4">
        <v>0.45833333333333331</v>
      </c>
      <c r="I164" s="4">
        <v>0.46527777777777779</v>
      </c>
      <c r="J164" s="25">
        <f t="shared" si="10"/>
        <v>11</v>
      </c>
      <c r="K164" s="5">
        <v>20.5</v>
      </c>
      <c r="L164" s="5">
        <v>20.399999999999999</v>
      </c>
      <c r="M164" s="5">
        <f t="shared" si="11"/>
        <v>20.45</v>
      </c>
      <c r="N164">
        <v>31.4</v>
      </c>
      <c r="O164">
        <v>36</v>
      </c>
      <c r="P164">
        <v>34.9</v>
      </c>
      <c r="Q164">
        <f t="shared" si="12"/>
        <v>34.1</v>
      </c>
      <c r="R164" t="s">
        <v>50</v>
      </c>
      <c r="S164" t="s">
        <v>50</v>
      </c>
      <c r="T164">
        <v>1</v>
      </c>
      <c r="U164" t="s">
        <v>37</v>
      </c>
      <c r="V164" t="s">
        <v>37</v>
      </c>
      <c r="W164">
        <v>1</v>
      </c>
      <c r="X164" t="s">
        <v>28</v>
      </c>
      <c r="Y164" t="s">
        <v>28</v>
      </c>
      <c r="Z164">
        <v>0</v>
      </c>
      <c r="AA164">
        <v>0</v>
      </c>
      <c r="AB164">
        <v>0</v>
      </c>
      <c r="AC164">
        <v>1</v>
      </c>
      <c r="AD164">
        <v>0</v>
      </c>
      <c r="AE164">
        <v>0</v>
      </c>
      <c r="AF164">
        <v>0</v>
      </c>
      <c r="AG164">
        <v>1</v>
      </c>
      <c r="AH164">
        <v>0</v>
      </c>
      <c r="AI164">
        <v>1</v>
      </c>
      <c r="AJ164" t="s">
        <v>36</v>
      </c>
      <c r="AK164">
        <v>0</v>
      </c>
      <c r="AL164">
        <f t="shared" si="13"/>
        <v>3</v>
      </c>
      <c r="AM164">
        <v>1</v>
      </c>
      <c r="AN164">
        <v>0</v>
      </c>
      <c r="AO164">
        <f t="shared" si="14"/>
        <v>1</v>
      </c>
      <c r="AP164" t="s">
        <v>86</v>
      </c>
    </row>
    <row r="165" spans="1:43" x14ac:dyDescent="0.3">
      <c r="A165" t="s">
        <v>412</v>
      </c>
      <c r="B165" s="17">
        <v>45998</v>
      </c>
      <c r="C165" s="6" t="s">
        <v>238</v>
      </c>
      <c r="D165" s="6">
        <v>4</v>
      </c>
      <c r="E165">
        <v>1</v>
      </c>
      <c r="F165">
        <v>2</v>
      </c>
      <c r="G165" t="str">
        <f>A165 &amp; "-" &amp; C165 &amp; "-" &amp; D165 &amp; "-" &amp; E165 &amp; "-" &amp; F165</f>
        <v>ID_167-M-4-1-2</v>
      </c>
      <c r="H165" s="4">
        <v>0.46736111111111112</v>
      </c>
      <c r="I165" s="4">
        <v>0.47430555555555554</v>
      </c>
      <c r="J165" s="25">
        <f t="shared" si="10"/>
        <v>11.216666666666667</v>
      </c>
      <c r="K165" s="5">
        <v>20.399999999999999</v>
      </c>
      <c r="L165" s="5">
        <v>21.4</v>
      </c>
      <c r="M165" s="5">
        <f t="shared" si="11"/>
        <v>20.9</v>
      </c>
      <c r="N165">
        <v>31.4</v>
      </c>
      <c r="O165">
        <v>36</v>
      </c>
      <c r="P165">
        <v>34.9</v>
      </c>
      <c r="Q165">
        <f t="shared" si="12"/>
        <v>34.1</v>
      </c>
      <c r="R165" t="s">
        <v>50</v>
      </c>
      <c r="S165" t="s">
        <v>50</v>
      </c>
      <c r="T165">
        <v>1</v>
      </c>
      <c r="U165" t="s">
        <v>37</v>
      </c>
      <c r="V165" t="s">
        <v>26</v>
      </c>
      <c r="W165">
        <v>1</v>
      </c>
      <c r="X165" t="s">
        <v>28</v>
      </c>
      <c r="Y165" t="s">
        <v>28</v>
      </c>
      <c r="Z165">
        <v>1</v>
      </c>
      <c r="AA165">
        <v>0</v>
      </c>
      <c r="AB165">
        <v>0</v>
      </c>
      <c r="AC165">
        <v>1</v>
      </c>
      <c r="AD165">
        <v>1</v>
      </c>
      <c r="AE165">
        <v>0</v>
      </c>
      <c r="AF165">
        <v>0</v>
      </c>
      <c r="AG165">
        <v>1</v>
      </c>
      <c r="AH165">
        <v>0</v>
      </c>
      <c r="AI165">
        <v>1</v>
      </c>
      <c r="AJ165" t="s">
        <v>36</v>
      </c>
      <c r="AK165">
        <v>0</v>
      </c>
      <c r="AL165">
        <f t="shared" si="13"/>
        <v>5</v>
      </c>
      <c r="AM165">
        <v>1</v>
      </c>
      <c r="AN165">
        <v>0</v>
      </c>
      <c r="AO165">
        <f t="shared" si="14"/>
        <v>1</v>
      </c>
      <c r="AP165" t="s">
        <v>87</v>
      </c>
    </row>
    <row r="166" spans="1:43" x14ac:dyDescent="0.3">
      <c r="A166" t="s">
        <v>413</v>
      </c>
      <c r="B166" s="17">
        <v>45998</v>
      </c>
      <c r="C166" s="6" t="s">
        <v>238</v>
      </c>
      <c r="D166" s="6">
        <v>9</v>
      </c>
      <c r="E166">
        <v>1</v>
      </c>
      <c r="F166">
        <v>1</v>
      </c>
      <c r="G166" t="str">
        <f>A166 &amp; "-" &amp; C166 &amp; "-" &amp; D166 &amp; "-" &amp; E166 &amp; "-" &amp; F166</f>
        <v>ID_168-M-9-1-1</v>
      </c>
      <c r="H166" s="4">
        <v>0.56180555555555556</v>
      </c>
      <c r="I166" s="4">
        <v>0.56874999999999998</v>
      </c>
      <c r="J166" s="25">
        <f t="shared" si="10"/>
        <v>13.483333333333333</v>
      </c>
      <c r="K166" s="5">
        <v>24.2</v>
      </c>
      <c r="L166" s="8">
        <v>24</v>
      </c>
      <c r="M166" s="5">
        <f t="shared" si="11"/>
        <v>24.1</v>
      </c>
      <c r="N166">
        <v>31.4</v>
      </c>
      <c r="O166">
        <v>36</v>
      </c>
      <c r="P166">
        <v>34.9</v>
      </c>
      <c r="Q166">
        <f t="shared" si="12"/>
        <v>34.1</v>
      </c>
      <c r="R166" t="s">
        <v>50</v>
      </c>
      <c r="S166" t="s">
        <v>50</v>
      </c>
      <c r="T166">
        <v>1</v>
      </c>
      <c r="U166" t="s">
        <v>26</v>
      </c>
      <c r="V166" t="s">
        <v>26</v>
      </c>
      <c r="W166">
        <v>2</v>
      </c>
      <c r="X166" t="s">
        <v>28</v>
      </c>
      <c r="Y166" t="s">
        <v>28</v>
      </c>
      <c r="Z166">
        <v>1</v>
      </c>
      <c r="AA166">
        <v>0</v>
      </c>
      <c r="AB166">
        <v>0</v>
      </c>
      <c r="AC166">
        <v>1</v>
      </c>
      <c r="AD166">
        <v>1</v>
      </c>
      <c r="AE166">
        <v>0</v>
      </c>
      <c r="AF166">
        <v>1</v>
      </c>
      <c r="AG166">
        <v>1</v>
      </c>
      <c r="AH166">
        <v>0</v>
      </c>
      <c r="AI166">
        <v>0</v>
      </c>
      <c r="AJ166" t="s">
        <v>211</v>
      </c>
      <c r="AK166">
        <v>1</v>
      </c>
      <c r="AL166">
        <f t="shared" si="13"/>
        <v>6</v>
      </c>
      <c r="AM166">
        <v>1</v>
      </c>
      <c r="AN166">
        <v>0</v>
      </c>
      <c r="AO166">
        <f t="shared" si="14"/>
        <v>1</v>
      </c>
    </row>
    <row r="167" spans="1:43" x14ac:dyDescent="0.3">
      <c r="A167" t="s">
        <v>414</v>
      </c>
      <c r="B167" s="17">
        <v>45998</v>
      </c>
      <c r="C167" s="6" t="s">
        <v>238</v>
      </c>
      <c r="D167" s="6">
        <v>9</v>
      </c>
      <c r="E167">
        <v>1</v>
      </c>
      <c r="F167">
        <v>2</v>
      </c>
      <c r="G167" t="str">
        <f>A167 &amp; "-" &amp; C167 &amp; "-" &amp; D167 &amp; "-" &amp; E167 &amp; "-" &amp; F167</f>
        <v>ID_169-M-9-1-2</v>
      </c>
      <c r="H167" s="4">
        <v>0.56944444444444442</v>
      </c>
      <c r="I167" s="4">
        <v>0.57708333333333328</v>
      </c>
      <c r="J167" s="25">
        <f t="shared" si="10"/>
        <v>13.666666666666666</v>
      </c>
      <c r="K167" s="5">
        <v>23</v>
      </c>
      <c r="L167" s="5">
        <v>23.8</v>
      </c>
      <c r="M167" s="5">
        <f t="shared" si="11"/>
        <v>23.4</v>
      </c>
      <c r="N167">
        <v>31.4</v>
      </c>
      <c r="O167">
        <v>36</v>
      </c>
      <c r="P167">
        <v>34.9</v>
      </c>
      <c r="Q167">
        <f t="shared" si="12"/>
        <v>34.1</v>
      </c>
      <c r="R167" t="s">
        <v>50</v>
      </c>
      <c r="S167" t="s">
        <v>50</v>
      </c>
      <c r="T167">
        <v>1</v>
      </c>
      <c r="U167" t="s">
        <v>26</v>
      </c>
      <c r="V167" t="s">
        <v>26</v>
      </c>
      <c r="W167">
        <v>2</v>
      </c>
      <c r="X167" t="s">
        <v>28</v>
      </c>
      <c r="Y167" t="s">
        <v>28</v>
      </c>
      <c r="Z167">
        <v>1</v>
      </c>
      <c r="AA167">
        <v>0</v>
      </c>
      <c r="AB167">
        <v>0</v>
      </c>
      <c r="AC167">
        <v>1</v>
      </c>
      <c r="AD167">
        <v>1</v>
      </c>
      <c r="AE167">
        <v>0</v>
      </c>
      <c r="AF167">
        <v>0</v>
      </c>
      <c r="AG167">
        <v>0</v>
      </c>
      <c r="AH167">
        <v>0</v>
      </c>
      <c r="AI167">
        <v>1</v>
      </c>
      <c r="AJ167" t="s">
        <v>211</v>
      </c>
      <c r="AK167">
        <v>1</v>
      </c>
      <c r="AL167">
        <f t="shared" si="13"/>
        <v>5</v>
      </c>
      <c r="AM167">
        <v>3</v>
      </c>
      <c r="AN167">
        <v>0</v>
      </c>
      <c r="AO167">
        <f t="shared" si="14"/>
        <v>3</v>
      </c>
      <c r="AP167" s="2" t="s">
        <v>85</v>
      </c>
    </row>
    <row r="168" spans="1:43" x14ac:dyDescent="0.3">
      <c r="A168" t="s">
        <v>415</v>
      </c>
      <c r="B168" s="17">
        <v>45999</v>
      </c>
      <c r="C168" s="6" t="s">
        <v>236</v>
      </c>
      <c r="D168" s="6">
        <v>1</v>
      </c>
      <c r="E168">
        <v>1</v>
      </c>
      <c r="F168">
        <v>1</v>
      </c>
      <c r="G168" t="str">
        <f>A168 &amp; "-" &amp; C168 &amp; "-" &amp; D168 &amp; "-" &amp; E168 &amp; "-" &amp; F168</f>
        <v>ID_170-G-1-1-1</v>
      </c>
      <c r="H168" s="4">
        <v>0.43541666666666667</v>
      </c>
      <c r="I168" s="4">
        <v>0.44305555555555554</v>
      </c>
      <c r="J168" s="25">
        <f t="shared" si="10"/>
        <v>10.45</v>
      </c>
      <c r="K168" s="5">
        <v>20.399999999999999</v>
      </c>
      <c r="L168" s="5">
        <v>21.1</v>
      </c>
      <c r="M168" s="5">
        <f t="shared" si="11"/>
        <v>20.75</v>
      </c>
      <c r="N168">
        <v>36</v>
      </c>
      <c r="O168">
        <v>34.9</v>
      </c>
      <c r="P168">
        <v>25.8</v>
      </c>
      <c r="Q168">
        <f t="shared" si="12"/>
        <v>32.233333333333334</v>
      </c>
      <c r="R168" t="s">
        <v>30</v>
      </c>
      <c r="S168" t="s">
        <v>27</v>
      </c>
      <c r="T168">
        <v>3</v>
      </c>
      <c r="U168" t="s">
        <v>35</v>
      </c>
      <c r="V168" t="s">
        <v>26</v>
      </c>
      <c r="W168">
        <v>3</v>
      </c>
      <c r="X168" t="s">
        <v>28</v>
      </c>
      <c r="Y168" t="s">
        <v>28</v>
      </c>
      <c r="Z168">
        <v>0</v>
      </c>
      <c r="AA168">
        <v>0</v>
      </c>
      <c r="AB168">
        <v>0</v>
      </c>
      <c r="AC168">
        <v>1</v>
      </c>
      <c r="AD168">
        <v>0</v>
      </c>
      <c r="AE168">
        <v>0</v>
      </c>
      <c r="AF168">
        <v>1</v>
      </c>
      <c r="AG168">
        <v>1</v>
      </c>
      <c r="AH168">
        <v>0</v>
      </c>
      <c r="AI168">
        <v>1</v>
      </c>
      <c r="AJ168" t="s">
        <v>59</v>
      </c>
      <c r="AK168">
        <v>1</v>
      </c>
      <c r="AL168">
        <f t="shared" si="13"/>
        <v>5</v>
      </c>
      <c r="AM168">
        <v>0</v>
      </c>
      <c r="AN168">
        <v>0</v>
      </c>
      <c r="AO168">
        <f t="shared" si="14"/>
        <v>0</v>
      </c>
    </row>
    <row r="169" spans="1:43" x14ac:dyDescent="0.3">
      <c r="A169" t="s">
        <v>416</v>
      </c>
      <c r="B169" s="17">
        <v>45999</v>
      </c>
      <c r="C169" s="6" t="s">
        <v>236</v>
      </c>
      <c r="D169" s="6">
        <v>1</v>
      </c>
      <c r="E169">
        <v>1</v>
      </c>
      <c r="F169">
        <v>1</v>
      </c>
      <c r="G169" t="str">
        <f>A169 &amp; "-" &amp; C169 &amp; "-" &amp; D169 &amp; "-" &amp; E169 &amp; "-" &amp; F169</f>
        <v>ID_171-G-1-1-1</v>
      </c>
      <c r="H169" s="4">
        <v>0.43541666666666667</v>
      </c>
      <c r="I169" s="4">
        <v>0.44305555555555554</v>
      </c>
      <c r="J169" s="25">
        <f t="shared" si="10"/>
        <v>10.45</v>
      </c>
      <c r="K169" s="5">
        <v>20.399999999999999</v>
      </c>
      <c r="L169" s="5">
        <v>21.1</v>
      </c>
      <c r="M169" s="5">
        <f t="shared" si="11"/>
        <v>20.75</v>
      </c>
      <c r="N169">
        <v>36</v>
      </c>
      <c r="O169">
        <v>34.9</v>
      </c>
      <c r="P169">
        <v>25.8</v>
      </c>
      <c r="Q169">
        <f t="shared" si="12"/>
        <v>32.233333333333334</v>
      </c>
      <c r="R169" t="s">
        <v>30</v>
      </c>
      <c r="S169" t="s">
        <v>27</v>
      </c>
      <c r="T169">
        <v>3</v>
      </c>
      <c r="U169" t="s">
        <v>35</v>
      </c>
      <c r="V169" t="s">
        <v>26</v>
      </c>
      <c r="W169">
        <v>3</v>
      </c>
      <c r="X169" t="s">
        <v>28</v>
      </c>
      <c r="Y169" t="s">
        <v>28</v>
      </c>
      <c r="Z169">
        <v>1</v>
      </c>
      <c r="AA169">
        <v>1</v>
      </c>
      <c r="AB169">
        <v>1</v>
      </c>
      <c r="AC169">
        <v>1</v>
      </c>
      <c r="AD169">
        <v>0</v>
      </c>
      <c r="AE169">
        <v>1</v>
      </c>
      <c r="AF169">
        <v>0</v>
      </c>
      <c r="AG169">
        <v>1</v>
      </c>
      <c r="AH169">
        <v>1</v>
      </c>
      <c r="AI169">
        <v>1</v>
      </c>
      <c r="AJ169" t="s">
        <v>59</v>
      </c>
      <c r="AK169">
        <v>1</v>
      </c>
      <c r="AL169">
        <f t="shared" si="13"/>
        <v>9</v>
      </c>
      <c r="AM169">
        <v>0</v>
      </c>
      <c r="AN169">
        <v>0</v>
      </c>
      <c r="AO169">
        <f t="shared" si="14"/>
        <v>0</v>
      </c>
    </row>
    <row r="170" spans="1:43" x14ac:dyDescent="0.3">
      <c r="A170" t="s">
        <v>417</v>
      </c>
      <c r="B170" s="17">
        <v>45999</v>
      </c>
      <c r="C170" s="6" t="s">
        <v>236</v>
      </c>
      <c r="D170" s="6">
        <v>1</v>
      </c>
      <c r="E170">
        <v>1</v>
      </c>
      <c r="F170">
        <v>2</v>
      </c>
      <c r="G170" t="str">
        <f>A170 &amp; "-" &amp; C170 &amp; "-" &amp; D170 &amp; "-" &amp; E170 &amp; "-" &amp; F170</f>
        <v>ID_172-G-1-1-2</v>
      </c>
      <c r="H170" s="4">
        <v>0.4826388888888889</v>
      </c>
      <c r="I170" s="4">
        <v>0.48958333333333331</v>
      </c>
      <c r="J170" s="25">
        <f t="shared" si="10"/>
        <v>11.583333333333334</v>
      </c>
      <c r="K170" s="5">
        <v>21.4</v>
      </c>
      <c r="L170" s="5">
        <v>22.7</v>
      </c>
      <c r="M170" s="5">
        <f t="shared" si="11"/>
        <v>22.049999999999997</v>
      </c>
      <c r="N170">
        <v>36</v>
      </c>
      <c r="O170">
        <v>34.9</v>
      </c>
      <c r="P170">
        <v>25.8</v>
      </c>
      <c r="Q170">
        <f t="shared" si="12"/>
        <v>32.233333333333334</v>
      </c>
      <c r="R170" t="s">
        <v>30</v>
      </c>
      <c r="S170" t="s">
        <v>30</v>
      </c>
      <c r="T170">
        <v>3</v>
      </c>
      <c r="U170" t="s">
        <v>35</v>
      </c>
      <c r="V170" t="s">
        <v>26</v>
      </c>
      <c r="W170">
        <v>3</v>
      </c>
      <c r="X170" t="s">
        <v>28</v>
      </c>
      <c r="Y170" t="s">
        <v>28</v>
      </c>
      <c r="Z170">
        <v>0</v>
      </c>
      <c r="AA170">
        <v>0</v>
      </c>
      <c r="AB170">
        <v>0</v>
      </c>
      <c r="AC170">
        <v>1</v>
      </c>
      <c r="AD170">
        <v>0</v>
      </c>
      <c r="AE170">
        <v>0</v>
      </c>
      <c r="AF170">
        <v>0</v>
      </c>
      <c r="AG170">
        <v>1</v>
      </c>
      <c r="AH170">
        <v>0</v>
      </c>
      <c r="AI170">
        <v>1</v>
      </c>
      <c r="AJ170" t="s">
        <v>63</v>
      </c>
      <c r="AK170">
        <v>2</v>
      </c>
      <c r="AL170">
        <f t="shared" si="13"/>
        <v>5</v>
      </c>
      <c r="AM170">
        <v>0</v>
      </c>
      <c r="AN170">
        <v>0</v>
      </c>
      <c r="AO170">
        <f t="shared" si="14"/>
        <v>0</v>
      </c>
    </row>
    <row r="171" spans="1:43" x14ac:dyDescent="0.3">
      <c r="A171" t="s">
        <v>418</v>
      </c>
      <c r="B171" s="17">
        <v>45999</v>
      </c>
      <c r="C171" s="6" t="s">
        <v>236</v>
      </c>
      <c r="D171" s="6">
        <v>1</v>
      </c>
      <c r="E171">
        <v>2</v>
      </c>
      <c r="F171">
        <v>1</v>
      </c>
      <c r="G171" t="str">
        <f>A171 &amp; "-" &amp; C171 &amp; "-" &amp; D171 &amp; "-" &amp; E171 &amp; "-" &amp; F171</f>
        <v>ID_173-G-1-2-1</v>
      </c>
      <c r="H171" s="4">
        <v>0.4465277777777778</v>
      </c>
      <c r="I171" s="4">
        <v>0.45347222222222222</v>
      </c>
      <c r="J171" s="25">
        <f t="shared" si="10"/>
        <v>10.716666666666667</v>
      </c>
      <c r="K171" s="5">
        <v>21.1</v>
      </c>
      <c r="L171" s="5">
        <v>20.8</v>
      </c>
      <c r="M171" s="5">
        <f t="shared" si="11"/>
        <v>20.950000000000003</v>
      </c>
      <c r="N171">
        <v>36</v>
      </c>
      <c r="O171">
        <v>34.9</v>
      </c>
      <c r="P171">
        <v>25.8</v>
      </c>
      <c r="Q171">
        <f t="shared" si="12"/>
        <v>32.233333333333334</v>
      </c>
      <c r="R171" t="s">
        <v>27</v>
      </c>
      <c r="S171" t="s">
        <v>27</v>
      </c>
      <c r="T171">
        <v>4</v>
      </c>
      <c r="U171" t="s">
        <v>35</v>
      </c>
      <c r="V171" t="s">
        <v>31</v>
      </c>
      <c r="W171">
        <v>3</v>
      </c>
      <c r="X171" t="s">
        <v>28</v>
      </c>
      <c r="Y171" t="s">
        <v>28</v>
      </c>
      <c r="Z171">
        <v>0</v>
      </c>
      <c r="AA171">
        <v>0</v>
      </c>
      <c r="AB171">
        <v>0</v>
      </c>
      <c r="AC171">
        <v>1</v>
      </c>
      <c r="AD171">
        <v>0</v>
      </c>
      <c r="AE171">
        <v>0</v>
      </c>
      <c r="AF171">
        <v>0</v>
      </c>
      <c r="AG171">
        <v>1</v>
      </c>
      <c r="AH171">
        <v>0</v>
      </c>
      <c r="AI171">
        <v>1</v>
      </c>
      <c r="AJ171" t="s">
        <v>60</v>
      </c>
      <c r="AK171">
        <v>2</v>
      </c>
      <c r="AL171">
        <f t="shared" si="13"/>
        <v>5</v>
      </c>
      <c r="AM171">
        <v>0</v>
      </c>
      <c r="AN171">
        <v>0</v>
      </c>
      <c r="AO171">
        <f t="shared" si="14"/>
        <v>0</v>
      </c>
    </row>
    <row r="172" spans="1:43" x14ac:dyDescent="0.3">
      <c r="A172" t="s">
        <v>419</v>
      </c>
      <c r="B172" s="17">
        <v>45999</v>
      </c>
      <c r="C172" s="6" t="s">
        <v>236</v>
      </c>
      <c r="D172" s="6">
        <v>1</v>
      </c>
      <c r="E172">
        <v>2</v>
      </c>
      <c r="F172">
        <v>1</v>
      </c>
      <c r="G172" t="str">
        <f>A172 &amp; "-" &amp; C172 &amp; "-" &amp; D172 &amp; "-" &amp; E172 &amp; "-" &amp; F172</f>
        <v>ID_174-G-1-2-1</v>
      </c>
      <c r="H172" s="4">
        <v>0.4465277777777778</v>
      </c>
      <c r="I172" s="4">
        <v>0.45347222222222222</v>
      </c>
      <c r="J172" s="25">
        <f t="shared" si="10"/>
        <v>10.716666666666667</v>
      </c>
      <c r="K172" s="5">
        <v>21.1</v>
      </c>
      <c r="L172" s="5">
        <v>20.8</v>
      </c>
      <c r="M172" s="5">
        <f t="shared" si="11"/>
        <v>20.950000000000003</v>
      </c>
      <c r="N172">
        <v>36</v>
      </c>
      <c r="O172">
        <v>34.9</v>
      </c>
      <c r="P172">
        <v>25.8</v>
      </c>
      <c r="Q172">
        <f t="shared" si="12"/>
        <v>32.233333333333334</v>
      </c>
      <c r="R172" t="s">
        <v>27</v>
      </c>
      <c r="S172" t="s">
        <v>27</v>
      </c>
      <c r="T172">
        <v>4</v>
      </c>
      <c r="U172" t="s">
        <v>35</v>
      </c>
      <c r="V172" t="s">
        <v>31</v>
      </c>
      <c r="W172">
        <v>3</v>
      </c>
      <c r="X172" t="s">
        <v>28</v>
      </c>
      <c r="Y172" t="s">
        <v>28</v>
      </c>
      <c r="Z172">
        <v>1</v>
      </c>
      <c r="AA172">
        <v>0</v>
      </c>
      <c r="AB172">
        <v>0</v>
      </c>
      <c r="AC172">
        <v>1</v>
      </c>
      <c r="AD172">
        <v>1</v>
      </c>
      <c r="AE172">
        <v>0</v>
      </c>
      <c r="AF172">
        <v>0</v>
      </c>
      <c r="AG172">
        <v>1</v>
      </c>
      <c r="AH172">
        <v>1</v>
      </c>
      <c r="AI172">
        <v>1</v>
      </c>
      <c r="AJ172" t="s">
        <v>61</v>
      </c>
      <c r="AK172">
        <v>3</v>
      </c>
      <c r="AL172">
        <f t="shared" si="13"/>
        <v>9</v>
      </c>
      <c r="AM172">
        <v>0</v>
      </c>
      <c r="AN172">
        <v>0</v>
      </c>
      <c r="AO172">
        <f t="shared" si="14"/>
        <v>0</v>
      </c>
    </row>
    <row r="173" spans="1:43" x14ac:dyDescent="0.3">
      <c r="A173" t="s">
        <v>420</v>
      </c>
      <c r="B173" s="17">
        <v>45999</v>
      </c>
      <c r="C173" s="6" t="s">
        <v>236</v>
      </c>
      <c r="D173" s="6" t="s">
        <v>242</v>
      </c>
      <c r="E173">
        <v>1</v>
      </c>
      <c r="F173">
        <v>1</v>
      </c>
      <c r="G173" t="str">
        <f>A173 &amp; "-" &amp; C173 &amp; "-" &amp; D173 &amp; "-" &amp; E173 &amp; "-" &amp; F173</f>
        <v>ID_175-G-12-1-1</v>
      </c>
      <c r="H173" s="4">
        <v>0.50069444444444444</v>
      </c>
      <c r="I173" s="4">
        <v>0.50763888888888886</v>
      </c>
      <c r="J173" s="25">
        <f t="shared" si="10"/>
        <v>12.016666666666667</v>
      </c>
      <c r="K173" s="5">
        <v>22.9</v>
      </c>
      <c r="L173" s="5">
        <v>22.9</v>
      </c>
      <c r="M173" s="5">
        <f t="shared" si="11"/>
        <v>22.9</v>
      </c>
      <c r="N173">
        <v>36</v>
      </c>
      <c r="O173">
        <v>34.9</v>
      </c>
      <c r="P173">
        <v>25.8</v>
      </c>
      <c r="Q173">
        <f t="shared" si="12"/>
        <v>32.233333333333334</v>
      </c>
      <c r="R173" t="s">
        <v>30</v>
      </c>
      <c r="S173" t="s">
        <v>30</v>
      </c>
      <c r="T173">
        <v>3</v>
      </c>
      <c r="U173" t="s">
        <v>35</v>
      </c>
      <c r="V173" t="s">
        <v>26</v>
      </c>
      <c r="W173">
        <v>3</v>
      </c>
      <c r="X173" t="s">
        <v>28</v>
      </c>
      <c r="Y173" t="s">
        <v>28</v>
      </c>
      <c r="Z173">
        <v>0</v>
      </c>
      <c r="AA173">
        <v>0</v>
      </c>
      <c r="AB173">
        <v>0</v>
      </c>
      <c r="AC173">
        <v>1</v>
      </c>
      <c r="AD173">
        <v>1</v>
      </c>
      <c r="AE173">
        <v>0</v>
      </c>
      <c r="AF173">
        <v>0</v>
      </c>
      <c r="AG173">
        <v>1</v>
      </c>
      <c r="AH173">
        <v>1</v>
      </c>
      <c r="AI173">
        <v>1</v>
      </c>
      <c r="AJ173" t="s">
        <v>36</v>
      </c>
      <c r="AK173">
        <v>0</v>
      </c>
      <c r="AL173">
        <f t="shared" si="13"/>
        <v>5</v>
      </c>
      <c r="AM173">
        <v>1</v>
      </c>
      <c r="AN173">
        <v>0</v>
      </c>
      <c r="AO173">
        <f t="shared" si="14"/>
        <v>1</v>
      </c>
      <c r="AP173" t="s">
        <v>64</v>
      </c>
      <c r="AQ173" t="s">
        <v>65</v>
      </c>
    </row>
    <row r="174" spans="1:43" x14ac:dyDescent="0.3">
      <c r="A174" t="s">
        <v>421</v>
      </c>
      <c r="B174" s="17">
        <v>45999</v>
      </c>
      <c r="C174" s="6" t="s">
        <v>236</v>
      </c>
      <c r="D174" s="6" t="s">
        <v>242</v>
      </c>
      <c r="E174">
        <v>1</v>
      </c>
      <c r="F174">
        <v>2</v>
      </c>
      <c r="G174" t="str">
        <f>A174 &amp; "-" &amp; C174 &amp; "-" &amp; D174 &amp; "-" &amp; E174 &amp; "-" &amp; F174</f>
        <v>ID_176-G-12-1-2</v>
      </c>
      <c r="H174" s="4">
        <v>0.50069444444444444</v>
      </c>
      <c r="I174" s="4">
        <v>0.50763888888888886</v>
      </c>
      <c r="J174" s="25">
        <f t="shared" si="10"/>
        <v>12.016666666666667</v>
      </c>
      <c r="K174" s="5">
        <v>22.9</v>
      </c>
      <c r="L174" s="5">
        <v>22.9</v>
      </c>
      <c r="M174" s="5">
        <f t="shared" si="11"/>
        <v>22.9</v>
      </c>
      <c r="N174">
        <v>36</v>
      </c>
      <c r="O174">
        <v>34.9</v>
      </c>
      <c r="P174">
        <v>25.8</v>
      </c>
      <c r="Q174">
        <f t="shared" si="12"/>
        <v>32.233333333333334</v>
      </c>
      <c r="R174" t="s">
        <v>30</v>
      </c>
      <c r="S174" t="s">
        <v>30</v>
      </c>
      <c r="T174">
        <v>3</v>
      </c>
      <c r="U174" t="s">
        <v>35</v>
      </c>
      <c r="V174" t="s">
        <v>26</v>
      </c>
      <c r="W174">
        <v>3</v>
      </c>
      <c r="X174" t="s">
        <v>28</v>
      </c>
      <c r="Y174" t="s">
        <v>28</v>
      </c>
      <c r="Z174">
        <v>0</v>
      </c>
      <c r="AA174">
        <v>1</v>
      </c>
      <c r="AB174">
        <v>0</v>
      </c>
      <c r="AC174">
        <v>1</v>
      </c>
      <c r="AD174">
        <v>0</v>
      </c>
      <c r="AE174">
        <v>0</v>
      </c>
      <c r="AF174">
        <v>0</v>
      </c>
      <c r="AG174">
        <v>0</v>
      </c>
      <c r="AH174">
        <v>0</v>
      </c>
      <c r="AI174">
        <v>0</v>
      </c>
      <c r="AJ174" t="s">
        <v>51</v>
      </c>
      <c r="AK174">
        <v>1</v>
      </c>
      <c r="AL174">
        <f t="shared" si="13"/>
        <v>3</v>
      </c>
      <c r="AM174">
        <v>2</v>
      </c>
      <c r="AN174">
        <v>0</v>
      </c>
      <c r="AO174">
        <f t="shared" si="14"/>
        <v>2</v>
      </c>
    </row>
    <row r="175" spans="1:43" x14ac:dyDescent="0.3">
      <c r="A175" t="s">
        <v>422</v>
      </c>
      <c r="B175" s="17">
        <v>45999</v>
      </c>
      <c r="C175" s="6" t="s">
        <v>236</v>
      </c>
      <c r="D175" s="6">
        <v>1</v>
      </c>
      <c r="E175">
        <v>3</v>
      </c>
      <c r="F175">
        <v>1</v>
      </c>
      <c r="G175" t="str">
        <f>A175 &amp; "-" &amp; C175 &amp; "-" &amp; D175 &amp; "-" &amp; E175 &amp; "-" &amp; F175</f>
        <v>ID_177-G-1-3-1</v>
      </c>
      <c r="H175" s="4">
        <v>0.45555555555555555</v>
      </c>
      <c r="I175" s="4">
        <v>0.46319444444444446</v>
      </c>
      <c r="J175" s="25">
        <f t="shared" si="10"/>
        <v>10.933333333333334</v>
      </c>
      <c r="K175" s="5">
        <v>20.8</v>
      </c>
      <c r="L175" s="5">
        <v>21.7</v>
      </c>
      <c r="M175" s="5">
        <f t="shared" si="11"/>
        <v>21.25</v>
      </c>
      <c r="N175">
        <v>36</v>
      </c>
      <c r="O175">
        <v>34.9</v>
      </c>
      <c r="P175">
        <v>25.8</v>
      </c>
      <c r="Q175">
        <f t="shared" si="12"/>
        <v>32.233333333333334</v>
      </c>
      <c r="R175" t="s">
        <v>27</v>
      </c>
      <c r="S175" t="s">
        <v>27</v>
      </c>
      <c r="T175">
        <v>4</v>
      </c>
      <c r="U175" t="s">
        <v>31</v>
      </c>
      <c r="V175" t="s">
        <v>31</v>
      </c>
      <c r="W175">
        <v>4</v>
      </c>
      <c r="X175" t="s">
        <v>28</v>
      </c>
      <c r="Y175" t="s">
        <v>28</v>
      </c>
      <c r="Z175">
        <v>0</v>
      </c>
      <c r="AA175">
        <v>0</v>
      </c>
      <c r="AB175">
        <v>0</v>
      </c>
      <c r="AC175">
        <v>0</v>
      </c>
      <c r="AD175">
        <v>0</v>
      </c>
      <c r="AE175">
        <v>0</v>
      </c>
      <c r="AF175">
        <v>0</v>
      </c>
      <c r="AG175">
        <v>1</v>
      </c>
      <c r="AH175">
        <v>1</v>
      </c>
      <c r="AI175">
        <v>1</v>
      </c>
      <c r="AJ175" t="s">
        <v>36</v>
      </c>
      <c r="AK175">
        <v>0</v>
      </c>
      <c r="AL175">
        <f t="shared" si="13"/>
        <v>3</v>
      </c>
      <c r="AM175">
        <v>0</v>
      </c>
      <c r="AN175">
        <v>0</v>
      </c>
      <c r="AO175">
        <f t="shared" si="14"/>
        <v>0</v>
      </c>
    </row>
    <row r="176" spans="1:43" x14ac:dyDescent="0.3">
      <c r="A176" t="s">
        <v>423</v>
      </c>
      <c r="B176" s="17">
        <v>45999</v>
      </c>
      <c r="C176" s="6" t="s">
        <v>236</v>
      </c>
      <c r="D176" s="6">
        <v>1</v>
      </c>
      <c r="E176">
        <v>3</v>
      </c>
      <c r="F176">
        <v>1</v>
      </c>
      <c r="G176" t="str">
        <f>A176 &amp; "-" &amp; C176 &amp; "-" &amp; D176 &amp; "-" &amp; E176 &amp; "-" &amp; F176</f>
        <v>ID_178-G-1-3-1</v>
      </c>
      <c r="H176" s="4">
        <v>0.45555555555555555</v>
      </c>
      <c r="I176" s="4">
        <v>0.46250000000000002</v>
      </c>
      <c r="J176" s="25">
        <f t="shared" si="10"/>
        <v>10.933333333333334</v>
      </c>
      <c r="K176" s="5">
        <v>20.8</v>
      </c>
      <c r="L176" s="5">
        <v>21.7</v>
      </c>
      <c r="M176" s="5">
        <f t="shared" si="11"/>
        <v>21.25</v>
      </c>
      <c r="N176">
        <v>36</v>
      </c>
      <c r="O176">
        <v>34.9</v>
      </c>
      <c r="P176">
        <v>25.8</v>
      </c>
      <c r="Q176">
        <f t="shared" si="12"/>
        <v>32.233333333333334</v>
      </c>
      <c r="R176" t="s">
        <v>27</v>
      </c>
      <c r="S176" t="s">
        <v>27</v>
      </c>
      <c r="T176">
        <v>4</v>
      </c>
      <c r="U176" t="s">
        <v>31</v>
      </c>
      <c r="V176" t="s">
        <v>31</v>
      </c>
      <c r="W176">
        <v>4</v>
      </c>
      <c r="X176" t="s">
        <v>28</v>
      </c>
      <c r="Y176" t="s">
        <v>28</v>
      </c>
      <c r="Z176">
        <v>0</v>
      </c>
      <c r="AA176">
        <v>0</v>
      </c>
      <c r="AB176">
        <v>0</v>
      </c>
      <c r="AC176">
        <v>0</v>
      </c>
      <c r="AD176">
        <v>0</v>
      </c>
      <c r="AE176">
        <v>0</v>
      </c>
      <c r="AF176">
        <v>0</v>
      </c>
      <c r="AG176">
        <v>1</v>
      </c>
      <c r="AH176">
        <v>1</v>
      </c>
      <c r="AI176">
        <v>1</v>
      </c>
      <c r="AJ176" t="s">
        <v>62</v>
      </c>
      <c r="AK176">
        <v>2</v>
      </c>
      <c r="AL176">
        <f t="shared" si="13"/>
        <v>5</v>
      </c>
      <c r="AM176">
        <v>0</v>
      </c>
      <c r="AN176">
        <v>0</v>
      </c>
      <c r="AO176">
        <f t="shared" si="14"/>
        <v>0</v>
      </c>
    </row>
    <row r="177" spans="1:42" x14ac:dyDescent="0.3">
      <c r="A177" t="s">
        <v>424</v>
      </c>
      <c r="B177" s="17">
        <v>45999</v>
      </c>
      <c r="C177" s="6" t="s">
        <v>236</v>
      </c>
      <c r="D177" s="6">
        <v>2</v>
      </c>
      <c r="E177">
        <v>1</v>
      </c>
      <c r="F177">
        <v>1</v>
      </c>
      <c r="G177" t="str">
        <f>A177 &amp; "-" &amp; C177 &amp; "-" &amp; D177 &amp; "-" &amp; E177 &amp; "-" &amp; F177</f>
        <v>ID_179-G-2-1-1</v>
      </c>
      <c r="H177" s="4">
        <v>0.47361111111111109</v>
      </c>
      <c r="I177" s="4">
        <v>0.48055555555555557</v>
      </c>
      <c r="J177" s="25">
        <f t="shared" si="10"/>
        <v>11.366666666666667</v>
      </c>
      <c r="K177" s="5">
        <v>21.8</v>
      </c>
      <c r="L177" s="5">
        <v>21.4</v>
      </c>
      <c r="M177" s="5">
        <f t="shared" si="11"/>
        <v>21.6</v>
      </c>
      <c r="N177">
        <v>36</v>
      </c>
      <c r="O177">
        <v>34.9</v>
      </c>
      <c r="P177">
        <v>25.8</v>
      </c>
      <c r="Q177">
        <f t="shared" si="12"/>
        <v>32.233333333333334</v>
      </c>
      <c r="R177" t="s">
        <v>27</v>
      </c>
      <c r="S177" t="s">
        <v>30</v>
      </c>
      <c r="T177">
        <v>4</v>
      </c>
      <c r="U177" t="s">
        <v>35</v>
      </c>
      <c r="V177" t="s">
        <v>35</v>
      </c>
      <c r="W177">
        <v>3</v>
      </c>
      <c r="X177" t="s">
        <v>28</v>
      </c>
      <c r="Y177" t="s">
        <v>28</v>
      </c>
      <c r="Z177">
        <v>1</v>
      </c>
      <c r="AA177">
        <v>0</v>
      </c>
      <c r="AB177">
        <v>0</v>
      </c>
      <c r="AC177">
        <v>0</v>
      </c>
      <c r="AD177">
        <v>0</v>
      </c>
      <c r="AE177">
        <v>0</v>
      </c>
      <c r="AF177">
        <v>0</v>
      </c>
      <c r="AG177">
        <v>1</v>
      </c>
      <c r="AH177">
        <v>0</v>
      </c>
      <c r="AI177">
        <v>1</v>
      </c>
      <c r="AJ177" t="s">
        <v>217</v>
      </c>
      <c r="AK177">
        <v>2</v>
      </c>
      <c r="AL177">
        <f t="shared" si="13"/>
        <v>5</v>
      </c>
      <c r="AM177">
        <v>0</v>
      </c>
      <c r="AN177">
        <v>0</v>
      </c>
      <c r="AO177">
        <f t="shared" si="14"/>
        <v>0</v>
      </c>
    </row>
    <row r="178" spans="1:42" x14ac:dyDescent="0.3">
      <c r="A178" t="s">
        <v>425</v>
      </c>
      <c r="B178" s="17">
        <v>45999</v>
      </c>
      <c r="C178" s="6" t="s">
        <v>236</v>
      </c>
      <c r="D178" s="6">
        <v>2</v>
      </c>
      <c r="E178">
        <v>1</v>
      </c>
      <c r="F178">
        <v>1</v>
      </c>
      <c r="G178" t="str">
        <f>A178 &amp; "-" &amp; C178 &amp; "-" &amp; D178 &amp; "-" &amp; E178 &amp; "-" &amp; F178</f>
        <v>ID_180-G-2-1-1</v>
      </c>
      <c r="H178" s="4">
        <v>0.47361111111111109</v>
      </c>
      <c r="I178" s="4">
        <v>0.48055555555555557</v>
      </c>
      <c r="J178" s="25">
        <f t="shared" si="10"/>
        <v>11.366666666666667</v>
      </c>
      <c r="K178" s="5">
        <v>21.8</v>
      </c>
      <c r="L178" s="5">
        <v>21.4</v>
      </c>
      <c r="M178" s="5">
        <f t="shared" si="11"/>
        <v>21.6</v>
      </c>
      <c r="N178">
        <v>36</v>
      </c>
      <c r="O178">
        <v>34.9</v>
      </c>
      <c r="P178">
        <v>25.8</v>
      </c>
      <c r="Q178">
        <f t="shared" si="12"/>
        <v>32.233333333333334</v>
      </c>
      <c r="R178" t="s">
        <v>27</v>
      </c>
      <c r="S178" t="s">
        <v>30</v>
      </c>
      <c r="T178">
        <v>4</v>
      </c>
      <c r="U178" t="s">
        <v>35</v>
      </c>
      <c r="V178" t="s">
        <v>35</v>
      </c>
      <c r="W178">
        <v>3</v>
      </c>
      <c r="X178" t="s">
        <v>28</v>
      </c>
      <c r="Y178" t="s">
        <v>28</v>
      </c>
      <c r="Z178">
        <v>1</v>
      </c>
      <c r="AA178">
        <v>0</v>
      </c>
      <c r="AB178">
        <v>0</v>
      </c>
      <c r="AC178">
        <v>1</v>
      </c>
      <c r="AD178">
        <v>1</v>
      </c>
      <c r="AE178">
        <v>0</v>
      </c>
      <c r="AF178">
        <v>0</v>
      </c>
      <c r="AG178">
        <v>1</v>
      </c>
      <c r="AH178">
        <v>1</v>
      </c>
      <c r="AI178">
        <v>1</v>
      </c>
      <c r="AJ178" t="s">
        <v>36</v>
      </c>
      <c r="AK178">
        <v>0</v>
      </c>
      <c r="AL178">
        <f t="shared" si="13"/>
        <v>6</v>
      </c>
      <c r="AM178">
        <v>0</v>
      </c>
      <c r="AN178">
        <v>0</v>
      </c>
      <c r="AO178">
        <f t="shared" si="14"/>
        <v>0</v>
      </c>
    </row>
    <row r="179" spans="1:42" x14ac:dyDescent="0.3">
      <c r="A179" t="s">
        <v>426</v>
      </c>
      <c r="B179" s="17">
        <v>45999</v>
      </c>
      <c r="C179" s="6" t="s">
        <v>236</v>
      </c>
      <c r="D179" s="6">
        <v>2</v>
      </c>
      <c r="E179">
        <v>1</v>
      </c>
      <c r="F179">
        <v>2</v>
      </c>
      <c r="G179" t="str">
        <f>A179 &amp; "-" &amp; C179 &amp; "-" &amp; D179 &amp; "-" &amp; E179 &amp; "-" &amp; F179</f>
        <v>ID_181-G-2-1-2</v>
      </c>
      <c r="H179" s="4">
        <v>0.4826388888888889</v>
      </c>
      <c r="I179" s="4">
        <v>0.48958333333333331</v>
      </c>
      <c r="J179" s="25">
        <f t="shared" si="10"/>
        <v>11.583333333333334</v>
      </c>
      <c r="K179" s="5">
        <v>21.4</v>
      </c>
      <c r="L179" s="5">
        <v>22.7</v>
      </c>
      <c r="M179" s="5">
        <f t="shared" si="11"/>
        <v>22.049999999999997</v>
      </c>
      <c r="N179">
        <v>36</v>
      </c>
      <c r="O179">
        <v>34.9</v>
      </c>
      <c r="P179">
        <v>25.8</v>
      </c>
      <c r="Q179">
        <f t="shared" si="12"/>
        <v>32.233333333333334</v>
      </c>
      <c r="R179" t="s">
        <v>30</v>
      </c>
      <c r="S179" t="s">
        <v>30</v>
      </c>
      <c r="T179">
        <v>3</v>
      </c>
      <c r="U179" t="s">
        <v>35</v>
      </c>
      <c r="V179" t="s">
        <v>26</v>
      </c>
      <c r="W179">
        <v>3</v>
      </c>
      <c r="X179" t="s">
        <v>28</v>
      </c>
      <c r="Y179" t="s">
        <v>28</v>
      </c>
      <c r="Z179">
        <v>1</v>
      </c>
      <c r="AA179">
        <v>0</v>
      </c>
      <c r="AB179">
        <v>0</v>
      </c>
      <c r="AC179">
        <v>1</v>
      </c>
      <c r="AD179">
        <v>0</v>
      </c>
      <c r="AE179">
        <v>1</v>
      </c>
      <c r="AF179">
        <v>1</v>
      </c>
      <c r="AG179">
        <v>1</v>
      </c>
      <c r="AH179">
        <v>1</v>
      </c>
      <c r="AI179">
        <v>1</v>
      </c>
      <c r="AJ179" t="s">
        <v>34</v>
      </c>
      <c r="AK179">
        <v>1</v>
      </c>
      <c r="AL179">
        <f t="shared" si="13"/>
        <v>8</v>
      </c>
      <c r="AM179">
        <v>0</v>
      </c>
      <c r="AN179">
        <v>0</v>
      </c>
      <c r="AO179">
        <f t="shared" si="14"/>
        <v>0</v>
      </c>
    </row>
    <row r="180" spans="1:42" x14ac:dyDescent="0.3">
      <c r="A180" t="s">
        <v>427</v>
      </c>
      <c r="B180" s="17">
        <v>45999</v>
      </c>
      <c r="C180" s="6" t="s">
        <v>236</v>
      </c>
      <c r="D180" s="6">
        <v>5</v>
      </c>
      <c r="E180">
        <v>2</v>
      </c>
      <c r="F180">
        <v>1</v>
      </c>
      <c r="G180" t="str">
        <f>A180 &amp; "-" &amp; C180 &amp; "-" &amp; D180 &amp; "-" &amp; E180 &amp; "-" &amp; F180</f>
        <v>ID_182-G-5-2-1</v>
      </c>
      <c r="H180" s="4">
        <v>0.55833333333333335</v>
      </c>
      <c r="I180" s="4">
        <v>0.56527777777777777</v>
      </c>
      <c r="J180" s="25">
        <f t="shared" si="10"/>
        <v>13.4</v>
      </c>
      <c r="K180" s="5">
        <v>24.5</v>
      </c>
      <c r="L180" s="5">
        <v>24.4</v>
      </c>
      <c r="M180" s="5">
        <f t="shared" si="11"/>
        <v>24.45</v>
      </c>
      <c r="N180">
        <v>36</v>
      </c>
      <c r="O180">
        <v>34.9</v>
      </c>
      <c r="P180">
        <v>25.8</v>
      </c>
      <c r="Q180">
        <f t="shared" si="12"/>
        <v>32.233333333333334</v>
      </c>
      <c r="R180" t="s">
        <v>30</v>
      </c>
      <c r="S180" t="s">
        <v>30</v>
      </c>
      <c r="T180">
        <v>3</v>
      </c>
      <c r="U180" t="s">
        <v>37</v>
      </c>
      <c r="V180" t="s">
        <v>37</v>
      </c>
      <c r="W180">
        <v>1</v>
      </c>
      <c r="X180" t="s">
        <v>28</v>
      </c>
      <c r="Y180" t="s">
        <v>28</v>
      </c>
      <c r="Z180">
        <v>1</v>
      </c>
      <c r="AA180">
        <v>0</v>
      </c>
      <c r="AB180">
        <v>1</v>
      </c>
      <c r="AC180">
        <v>0</v>
      </c>
      <c r="AD180">
        <v>0</v>
      </c>
      <c r="AE180">
        <v>0</v>
      </c>
      <c r="AF180">
        <v>0</v>
      </c>
      <c r="AG180">
        <v>1</v>
      </c>
      <c r="AH180">
        <v>0</v>
      </c>
      <c r="AI180">
        <v>1</v>
      </c>
      <c r="AJ180" t="s">
        <v>182</v>
      </c>
      <c r="AK180">
        <v>2</v>
      </c>
      <c r="AL180">
        <f t="shared" si="13"/>
        <v>6</v>
      </c>
      <c r="AM180">
        <v>1</v>
      </c>
      <c r="AN180">
        <v>0</v>
      </c>
      <c r="AO180">
        <f t="shared" si="14"/>
        <v>1</v>
      </c>
    </row>
    <row r="181" spans="1:42" x14ac:dyDescent="0.3">
      <c r="A181" t="s">
        <v>428</v>
      </c>
      <c r="B181" s="17">
        <v>45999</v>
      </c>
      <c r="C181" s="6" t="s">
        <v>236</v>
      </c>
      <c r="D181" s="6">
        <v>5</v>
      </c>
      <c r="E181">
        <v>2</v>
      </c>
      <c r="F181">
        <v>1</v>
      </c>
      <c r="G181" t="str">
        <f>A181 &amp; "-" &amp; C181 &amp; "-" &amp; D181 &amp; "-" &amp; E181 &amp; "-" &amp; F181</f>
        <v>ID_183-G-5-2-1</v>
      </c>
      <c r="H181" s="4">
        <v>0.55833333333333335</v>
      </c>
      <c r="I181" s="4">
        <v>0.56527777777777777</v>
      </c>
      <c r="J181" s="25">
        <f t="shared" si="10"/>
        <v>13.4</v>
      </c>
      <c r="K181" s="5">
        <v>24.5</v>
      </c>
      <c r="L181" s="5">
        <v>24.4</v>
      </c>
      <c r="M181" s="5">
        <f t="shared" si="11"/>
        <v>24.45</v>
      </c>
      <c r="N181">
        <v>36</v>
      </c>
      <c r="O181">
        <v>34.9</v>
      </c>
      <c r="P181">
        <v>25.8</v>
      </c>
      <c r="Q181">
        <f t="shared" si="12"/>
        <v>32.233333333333334</v>
      </c>
      <c r="R181" t="s">
        <v>30</v>
      </c>
      <c r="S181" t="s">
        <v>30</v>
      </c>
      <c r="T181">
        <v>3</v>
      </c>
      <c r="U181" t="s">
        <v>37</v>
      </c>
      <c r="V181" t="s">
        <v>37</v>
      </c>
      <c r="W181">
        <v>1</v>
      </c>
      <c r="X181" t="s">
        <v>28</v>
      </c>
      <c r="Y181" t="s">
        <v>28</v>
      </c>
      <c r="Z181">
        <v>1</v>
      </c>
      <c r="AA181">
        <v>0</v>
      </c>
      <c r="AB181">
        <v>0</v>
      </c>
      <c r="AC181">
        <v>1</v>
      </c>
      <c r="AD181">
        <v>0</v>
      </c>
      <c r="AE181">
        <v>0</v>
      </c>
      <c r="AF181">
        <v>0</v>
      </c>
      <c r="AG181">
        <v>1</v>
      </c>
      <c r="AH181">
        <v>0</v>
      </c>
      <c r="AI181">
        <v>1</v>
      </c>
      <c r="AJ181" s="2" t="s">
        <v>219</v>
      </c>
      <c r="AK181" s="2">
        <v>2</v>
      </c>
      <c r="AL181">
        <f t="shared" si="13"/>
        <v>6</v>
      </c>
      <c r="AM181">
        <v>1</v>
      </c>
      <c r="AN181">
        <v>0</v>
      </c>
      <c r="AO181">
        <f t="shared" si="14"/>
        <v>1</v>
      </c>
    </row>
    <row r="182" spans="1:42" x14ac:dyDescent="0.3">
      <c r="A182" t="s">
        <v>429</v>
      </c>
      <c r="B182" s="17">
        <v>45999</v>
      </c>
      <c r="C182" s="6" t="s">
        <v>236</v>
      </c>
      <c r="D182" s="6">
        <v>6</v>
      </c>
      <c r="E182">
        <v>1</v>
      </c>
      <c r="F182">
        <v>1</v>
      </c>
      <c r="G182" t="str">
        <f>A182 &amp; "-" &amp; C182 &amp; "-" &amp; D182 &amp; "-" &amp; E182 &amp; "-" &amp; F182</f>
        <v>ID_184-G-6-1-1</v>
      </c>
      <c r="H182" s="4">
        <v>0.63055555555555554</v>
      </c>
      <c r="I182" s="4">
        <v>0.63749999999999996</v>
      </c>
      <c r="J182" s="25">
        <f t="shared" si="10"/>
        <v>15.133333333333333</v>
      </c>
      <c r="K182" s="5">
        <v>27.1</v>
      </c>
      <c r="L182" s="5">
        <v>26.6</v>
      </c>
      <c r="M182" s="5">
        <f t="shared" si="11"/>
        <v>26.85</v>
      </c>
      <c r="N182">
        <v>36</v>
      </c>
      <c r="O182">
        <v>34.9</v>
      </c>
      <c r="P182">
        <v>25.8</v>
      </c>
      <c r="Q182">
        <f t="shared" si="12"/>
        <v>32.233333333333334</v>
      </c>
      <c r="R182" t="s">
        <v>30</v>
      </c>
      <c r="S182" t="s">
        <v>30</v>
      </c>
      <c r="T182">
        <v>3</v>
      </c>
      <c r="U182" t="s">
        <v>35</v>
      </c>
      <c r="V182" t="s">
        <v>35</v>
      </c>
      <c r="W182">
        <v>3</v>
      </c>
      <c r="X182" t="s">
        <v>28</v>
      </c>
      <c r="Y182" t="s">
        <v>28</v>
      </c>
      <c r="Z182">
        <v>0</v>
      </c>
      <c r="AA182">
        <v>0</v>
      </c>
      <c r="AB182">
        <v>0</v>
      </c>
      <c r="AC182">
        <v>1</v>
      </c>
      <c r="AD182">
        <v>0</v>
      </c>
      <c r="AE182">
        <v>0</v>
      </c>
      <c r="AF182">
        <v>0</v>
      </c>
      <c r="AG182">
        <v>1</v>
      </c>
      <c r="AH182">
        <v>0</v>
      </c>
      <c r="AI182">
        <v>1</v>
      </c>
      <c r="AJ182" t="s">
        <v>34</v>
      </c>
      <c r="AK182">
        <v>1</v>
      </c>
      <c r="AL182">
        <f t="shared" si="13"/>
        <v>4</v>
      </c>
      <c r="AM182">
        <v>0</v>
      </c>
      <c r="AN182">
        <v>0</v>
      </c>
      <c r="AO182">
        <f t="shared" si="14"/>
        <v>0</v>
      </c>
    </row>
    <row r="183" spans="1:42" x14ac:dyDescent="0.3">
      <c r="A183" t="s">
        <v>430</v>
      </c>
      <c r="B183" s="17">
        <v>45999</v>
      </c>
      <c r="C183" s="6" t="s">
        <v>236</v>
      </c>
      <c r="D183" s="6">
        <v>6</v>
      </c>
      <c r="E183">
        <v>1</v>
      </c>
      <c r="F183">
        <v>1</v>
      </c>
      <c r="G183" t="str">
        <f>A183 &amp; "-" &amp; C183 &amp; "-" &amp; D183 &amp; "-" &amp; E183 &amp; "-" &amp; F183</f>
        <v>ID_185-G-6-1-1</v>
      </c>
      <c r="H183" s="4">
        <v>0.63055555555555554</v>
      </c>
      <c r="I183" s="4">
        <v>0.63749999999999996</v>
      </c>
      <c r="J183" s="25">
        <f t="shared" si="10"/>
        <v>15.133333333333333</v>
      </c>
      <c r="K183" s="5">
        <v>27.1</v>
      </c>
      <c r="L183" s="5">
        <v>26.6</v>
      </c>
      <c r="M183" s="5">
        <f t="shared" si="11"/>
        <v>26.85</v>
      </c>
      <c r="N183">
        <v>36</v>
      </c>
      <c r="O183">
        <v>34.9</v>
      </c>
      <c r="P183">
        <v>25.8</v>
      </c>
      <c r="Q183">
        <f t="shared" si="12"/>
        <v>32.233333333333334</v>
      </c>
      <c r="R183" t="s">
        <v>30</v>
      </c>
      <c r="S183" t="s">
        <v>30</v>
      </c>
      <c r="T183">
        <v>3</v>
      </c>
      <c r="U183" t="s">
        <v>35</v>
      </c>
      <c r="V183" t="s">
        <v>35</v>
      </c>
      <c r="W183">
        <v>3</v>
      </c>
      <c r="X183" t="s">
        <v>28</v>
      </c>
      <c r="Y183" t="s">
        <v>28</v>
      </c>
      <c r="Z183">
        <v>1</v>
      </c>
      <c r="AA183">
        <v>0</v>
      </c>
      <c r="AB183">
        <v>0</v>
      </c>
      <c r="AC183">
        <v>1</v>
      </c>
      <c r="AD183">
        <v>1</v>
      </c>
      <c r="AE183">
        <v>0</v>
      </c>
      <c r="AF183">
        <v>0</v>
      </c>
      <c r="AG183">
        <v>1</v>
      </c>
      <c r="AH183">
        <v>0</v>
      </c>
      <c r="AI183">
        <v>1</v>
      </c>
      <c r="AJ183" t="s">
        <v>66</v>
      </c>
      <c r="AK183">
        <v>1</v>
      </c>
      <c r="AL183">
        <f t="shared" si="13"/>
        <v>6</v>
      </c>
      <c r="AM183">
        <v>0</v>
      </c>
      <c r="AN183">
        <v>0</v>
      </c>
      <c r="AO183">
        <f t="shared" si="14"/>
        <v>0</v>
      </c>
    </row>
    <row r="184" spans="1:42" x14ac:dyDescent="0.3">
      <c r="A184" t="s">
        <v>431</v>
      </c>
      <c r="B184" s="17">
        <v>46000</v>
      </c>
      <c r="C184" s="6" t="s">
        <v>238</v>
      </c>
      <c r="D184" s="6">
        <v>5</v>
      </c>
      <c r="E184">
        <v>1</v>
      </c>
      <c r="F184">
        <v>1</v>
      </c>
      <c r="G184" t="str">
        <f>A184 &amp; "-" &amp; C184 &amp; "-" &amp; D184 &amp; "-" &amp; E184 &amp; "-" &amp; F184</f>
        <v>ID_186-M-5-1-1</v>
      </c>
      <c r="H184" s="4">
        <v>0.42708333333333331</v>
      </c>
      <c r="I184" s="4">
        <v>0.43472222222222223</v>
      </c>
      <c r="J184" s="25">
        <f t="shared" si="10"/>
        <v>10.25</v>
      </c>
      <c r="K184" s="5">
        <v>26.5</v>
      </c>
      <c r="L184" s="5">
        <v>26.5</v>
      </c>
      <c r="M184" s="5">
        <f t="shared" si="11"/>
        <v>26.5</v>
      </c>
      <c r="N184">
        <v>34.9</v>
      </c>
      <c r="O184">
        <v>25.8</v>
      </c>
      <c r="P184">
        <v>28.1</v>
      </c>
      <c r="Q184">
        <f t="shared" si="12"/>
        <v>29.600000000000005</v>
      </c>
      <c r="R184" t="s">
        <v>56</v>
      </c>
      <c r="S184" t="s">
        <v>56</v>
      </c>
      <c r="T184">
        <v>0</v>
      </c>
      <c r="U184" t="s">
        <v>37</v>
      </c>
      <c r="V184" t="s">
        <v>47</v>
      </c>
      <c r="W184">
        <v>1</v>
      </c>
      <c r="X184" t="s">
        <v>28</v>
      </c>
      <c r="Y184" t="s">
        <v>28</v>
      </c>
      <c r="Z184">
        <v>1</v>
      </c>
      <c r="AA184">
        <v>0</v>
      </c>
      <c r="AB184">
        <v>0</v>
      </c>
      <c r="AC184">
        <v>1</v>
      </c>
      <c r="AD184">
        <v>1</v>
      </c>
      <c r="AE184">
        <v>0</v>
      </c>
      <c r="AF184">
        <v>0</v>
      </c>
      <c r="AG184">
        <v>1</v>
      </c>
      <c r="AH184">
        <v>1</v>
      </c>
      <c r="AI184">
        <v>0</v>
      </c>
      <c r="AJ184" t="s">
        <v>36</v>
      </c>
      <c r="AK184">
        <v>0</v>
      </c>
      <c r="AL184">
        <f t="shared" si="13"/>
        <v>5</v>
      </c>
      <c r="AM184">
        <v>0</v>
      </c>
      <c r="AN184">
        <v>0</v>
      </c>
      <c r="AO184">
        <f t="shared" si="14"/>
        <v>0</v>
      </c>
    </row>
    <row r="185" spans="1:42" x14ac:dyDescent="0.3">
      <c r="A185" t="s">
        <v>432</v>
      </c>
      <c r="B185" s="17">
        <v>46000</v>
      </c>
      <c r="C185" s="6" t="s">
        <v>238</v>
      </c>
      <c r="D185" s="6">
        <v>5</v>
      </c>
      <c r="E185">
        <v>1</v>
      </c>
      <c r="F185">
        <v>2</v>
      </c>
      <c r="G185" t="str">
        <f>A185 &amp; "-" &amp; C185 &amp; "-" &amp; D185 &amp; "-" &amp; E185 &amp; "-" &amp; F185</f>
        <v>ID_187-M-5-1-2</v>
      </c>
      <c r="H185" s="4">
        <v>0.43541666666666667</v>
      </c>
      <c r="I185" s="4">
        <v>0.44305555555555554</v>
      </c>
      <c r="J185" s="25">
        <f t="shared" si="10"/>
        <v>10.45</v>
      </c>
      <c r="K185" s="5">
        <v>26.5</v>
      </c>
      <c r="L185" s="5">
        <v>27.4</v>
      </c>
      <c r="M185" s="5">
        <f t="shared" si="11"/>
        <v>26.95</v>
      </c>
      <c r="N185">
        <v>34.9</v>
      </c>
      <c r="O185">
        <v>25.8</v>
      </c>
      <c r="P185">
        <v>28.1</v>
      </c>
      <c r="Q185">
        <f t="shared" si="12"/>
        <v>29.600000000000005</v>
      </c>
      <c r="R185" t="s">
        <v>56</v>
      </c>
      <c r="S185" t="s">
        <v>56</v>
      </c>
      <c r="T185">
        <v>0</v>
      </c>
      <c r="U185" t="s">
        <v>37</v>
      </c>
      <c r="V185" t="s">
        <v>37</v>
      </c>
      <c r="W185">
        <v>1</v>
      </c>
      <c r="X185" t="s">
        <v>28</v>
      </c>
      <c r="Y185" t="s">
        <v>28</v>
      </c>
      <c r="Z185">
        <v>1</v>
      </c>
      <c r="AA185">
        <v>0</v>
      </c>
      <c r="AB185">
        <v>0</v>
      </c>
      <c r="AC185">
        <v>1</v>
      </c>
      <c r="AD185">
        <v>1</v>
      </c>
      <c r="AE185">
        <v>0</v>
      </c>
      <c r="AF185">
        <v>0</v>
      </c>
      <c r="AG185">
        <v>1</v>
      </c>
      <c r="AH185">
        <v>1</v>
      </c>
      <c r="AI185">
        <v>1</v>
      </c>
      <c r="AJ185" t="s">
        <v>36</v>
      </c>
      <c r="AK185">
        <v>0</v>
      </c>
      <c r="AL185">
        <f t="shared" si="13"/>
        <v>6</v>
      </c>
      <c r="AM185">
        <v>0</v>
      </c>
      <c r="AN185">
        <v>0</v>
      </c>
      <c r="AO185">
        <f t="shared" si="14"/>
        <v>0</v>
      </c>
    </row>
    <row r="186" spans="1:42" x14ac:dyDescent="0.3">
      <c r="A186" t="s">
        <v>433</v>
      </c>
      <c r="B186" s="17">
        <v>46000</v>
      </c>
      <c r="C186" s="6" t="s">
        <v>238</v>
      </c>
      <c r="D186" s="6">
        <v>8</v>
      </c>
      <c r="E186">
        <v>1</v>
      </c>
      <c r="F186">
        <v>1</v>
      </c>
      <c r="G186" t="str">
        <f>A186 &amp; "-" &amp; C186 &amp; "-" &amp; D186 &amp; "-" &amp; E186 &amp; "-" &amp; F186</f>
        <v>ID_188-M-8-1-1</v>
      </c>
      <c r="H186" s="4">
        <v>0.45624999999999999</v>
      </c>
      <c r="I186" s="4">
        <v>0.46319444444444446</v>
      </c>
      <c r="J186" s="25">
        <f t="shared" si="10"/>
        <v>10.95</v>
      </c>
      <c r="K186" s="5">
        <v>27.7</v>
      </c>
      <c r="L186" s="5">
        <v>27.9</v>
      </c>
      <c r="M186" s="5">
        <f t="shared" si="11"/>
        <v>27.799999999999997</v>
      </c>
      <c r="N186">
        <v>34.9</v>
      </c>
      <c r="O186">
        <v>25.8</v>
      </c>
      <c r="P186">
        <v>28.1</v>
      </c>
      <c r="Q186">
        <f t="shared" si="12"/>
        <v>29.600000000000005</v>
      </c>
      <c r="R186" t="s">
        <v>56</v>
      </c>
      <c r="S186" t="s">
        <v>56</v>
      </c>
      <c r="T186">
        <v>0</v>
      </c>
      <c r="U186" t="s">
        <v>37</v>
      </c>
      <c r="V186" t="s">
        <v>37</v>
      </c>
      <c r="W186">
        <v>1</v>
      </c>
      <c r="X186" t="s">
        <v>28</v>
      </c>
      <c r="Y186" t="s">
        <v>28</v>
      </c>
      <c r="Z186">
        <v>1</v>
      </c>
      <c r="AA186">
        <v>0</v>
      </c>
      <c r="AB186">
        <v>0</v>
      </c>
      <c r="AC186">
        <v>1</v>
      </c>
      <c r="AD186">
        <v>1</v>
      </c>
      <c r="AE186">
        <v>0</v>
      </c>
      <c r="AF186">
        <v>0</v>
      </c>
      <c r="AG186">
        <v>1</v>
      </c>
      <c r="AH186">
        <v>1</v>
      </c>
      <c r="AI186">
        <v>0</v>
      </c>
      <c r="AJ186" t="s">
        <v>36</v>
      </c>
      <c r="AK186">
        <v>0</v>
      </c>
      <c r="AL186">
        <f t="shared" si="13"/>
        <v>5</v>
      </c>
      <c r="AM186">
        <v>1</v>
      </c>
      <c r="AN186">
        <v>0</v>
      </c>
      <c r="AO186">
        <f t="shared" si="14"/>
        <v>1</v>
      </c>
      <c r="AP186" t="s">
        <v>57</v>
      </c>
    </row>
    <row r="187" spans="1:42" x14ac:dyDescent="0.3">
      <c r="A187" t="s">
        <v>434</v>
      </c>
      <c r="B187" s="17">
        <v>46000</v>
      </c>
      <c r="C187" s="6" t="s">
        <v>238</v>
      </c>
      <c r="D187" s="6">
        <v>8</v>
      </c>
      <c r="E187">
        <v>1</v>
      </c>
      <c r="F187">
        <v>2</v>
      </c>
      <c r="G187" t="str">
        <f>A187 &amp; "-" &amp; C187 &amp; "-" &amp; D187 &amp; "-" &amp; E187 &amp; "-" &amp; F187</f>
        <v>ID_189-M-8-1-2</v>
      </c>
      <c r="H187" s="4">
        <v>0.46458333333333335</v>
      </c>
      <c r="I187" s="4">
        <v>0.47152777777777777</v>
      </c>
      <c r="J187" s="25">
        <f t="shared" si="10"/>
        <v>11.15</v>
      </c>
      <c r="K187" s="5">
        <v>27.9</v>
      </c>
      <c r="L187" s="5">
        <v>28</v>
      </c>
      <c r="M187" s="5">
        <f t="shared" si="11"/>
        <v>27.95</v>
      </c>
      <c r="N187">
        <v>34.9</v>
      </c>
      <c r="O187">
        <v>25.8</v>
      </c>
      <c r="P187">
        <v>28.1</v>
      </c>
      <c r="Q187">
        <f t="shared" si="12"/>
        <v>29.600000000000005</v>
      </c>
      <c r="R187" t="s">
        <v>56</v>
      </c>
      <c r="S187" t="s">
        <v>56</v>
      </c>
      <c r="T187">
        <v>0</v>
      </c>
      <c r="U187" t="s">
        <v>37</v>
      </c>
      <c r="V187" t="s">
        <v>26</v>
      </c>
      <c r="W187">
        <v>1</v>
      </c>
      <c r="X187" t="s">
        <v>28</v>
      </c>
      <c r="Y187" t="s">
        <v>28</v>
      </c>
      <c r="Z187">
        <v>1</v>
      </c>
      <c r="AA187">
        <v>0</v>
      </c>
      <c r="AB187">
        <v>1</v>
      </c>
      <c r="AC187">
        <v>1</v>
      </c>
      <c r="AD187">
        <v>1</v>
      </c>
      <c r="AE187">
        <v>0</v>
      </c>
      <c r="AF187">
        <v>0</v>
      </c>
      <c r="AG187">
        <v>1</v>
      </c>
      <c r="AH187">
        <v>0</v>
      </c>
      <c r="AI187">
        <v>1</v>
      </c>
      <c r="AJ187" t="s">
        <v>58</v>
      </c>
      <c r="AK187">
        <v>2</v>
      </c>
      <c r="AL187">
        <f t="shared" si="13"/>
        <v>8</v>
      </c>
      <c r="AM187">
        <v>1</v>
      </c>
      <c r="AN187">
        <v>0</v>
      </c>
      <c r="AO187">
        <f t="shared" si="14"/>
        <v>1</v>
      </c>
    </row>
    <row r="188" spans="1:42" x14ac:dyDescent="0.3">
      <c r="A188" t="s">
        <v>435</v>
      </c>
      <c r="B188" s="17">
        <v>46000</v>
      </c>
      <c r="C188" s="6" t="s">
        <v>238</v>
      </c>
      <c r="D188" s="6">
        <v>8</v>
      </c>
      <c r="E188">
        <v>2</v>
      </c>
      <c r="F188">
        <v>1</v>
      </c>
      <c r="G188" t="str">
        <f>A188 &amp; "-" &amp; C188 &amp; "-" &amp; D188 &amp; "-" &amp; E188 &amp; "-" &amp; F188</f>
        <v>ID_190-M-8-2-1</v>
      </c>
      <c r="H188" s="4">
        <v>0.53541666666666665</v>
      </c>
      <c r="I188" s="4">
        <v>0.54236111111111107</v>
      </c>
      <c r="J188" s="25">
        <f t="shared" si="10"/>
        <v>12.85</v>
      </c>
      <c r="K188" s="5">
        <v>30.3</v>
      </c>
      <c r="L188" s="5">
        <v>30.8</v>
      </c>
      <c r="M188" s="5">
        <f t="shared" si="11"/>
        <v>30.55</v>
      </c>
      <c r="N188">
        <v>34.9</v>
      </c>
      <c r="O188">
        <v>25.8</v>
      </c>
      <c r="P188">
        <v>28.1</v>
      </c>
      <c r="Q188">
        <f t="shared" si="12"/>
        <v>29.600000000000005</v>
      </c>
      <c r="R188" t="s">
        <v>56</v>
      </c>
      <c r="S188" t="s">
        <v>56</v>
      </c>
      <c r="T188">
        <v>0</v>
      </c>
      <c r="U188" t="s">
        <v>26</v>
      </c>
      <c r="V188" t="s">
        <v>26</v>
      </c>
      <c r="W188">
        <v>2</v>
      </c>
      <c r="X188" t="s">
        <v>28</v>
      </c>
      <c r="Y188" t="s">
        <v>28</v>
      </c>
      <c r="Z188">
        <v>1</v>
      </c>
      <c r="AA188">
        <v>1</v>
      </c>
      <c r="AB188">
        <v>0</v>
      </c>
      <c r="AC188">
        <v>1</v>
      </c>
      <c r="AD188">
        <v>0</v>
      </c>
      <c r="AE188">
        <v>0</v>
      </c>
      <c r="AF188">
        <v>0</v>
      </c>
      <c r="AG188">
        <v>1</v>
      </c>
      <c r="AH188">
        <v>0</v>
      </c>
      <c r="AI188">
        <v>1</v>
      </c>
      <c r="AJ188" t="s">
        <v>36</v>
      </c>
      <c r="AK188">
        <v>0</v>
      </c>
      <c r="AL188">
        <f t="shared" si="13"/>
        <v>5</v>
      </c>
      <c r="AM188">
        <v>1</v>
      </c>
      <c r="AN188">
        <v>0</v>
      </c>
      <c r="AO188">
        <f t="shared" si="14"/>
        <v>1</v>
      </c>
      <c r="AP188" t="s">
        <v>178</v>
      </c>
    </row>
    <row r="189" spans="1:42" x14ac:dyDescent="0.3">
      <c r="A189" t="s">
        <v>436</v>
      </c>
      <c r="B189" s="17">
        <v>46001</v>
      </c>
      <c r="C189" s="6" t="s">
        <v>238</v>
      </c>
      <c r="D189" s="6">
        <v>2</v>
      </c>
      <c r="E189">
        <v>1</v>
      </c>
      <c r="F189">
        <v>1</v>
      </c>
      <c r="G189" t="str">
        <f>A189 &amp; "-" &amp; C189 &amp; "-" &amp; D189 &amp; "-" &amp; E189 &amp; "-" &amp; F189</f>
        <v>ID_191-M-2-1-1</v>
      </c>
      <c r="H189" s="4">
        <v>0.41875000000000001</v>
      </c>
      <c r="I189" s="4">
        <v>0.42569444444444443</v>
      </c>
      <c r="J189" s="25">
        <f t="shared" si="10"/>
        <v>10.050000000000001</v>
      </c>
      <c r="K189" s="5">
        <v>19.399999999999999</v>
      </c>
      <c r="L189" s="5">
        <v>19.399999999999999</v>
      </c>
      <c r="M189" s="5">
        <f t="shared" si="11"/>
        <v>19.399999999999999</v>
      </c>
      <c r="N189">
        <v>25.8</v>
      </c>
      <c r="O189">
        <v>28.1</v>
      </c>
      <c r="P189">
        <v>33.700000000000003</v>
      </c>
      <c r="Q189">
        <f t="shared" si="12"/>
        <v>29.200000000000003</v>
      </c>
      <c r="R189" t="s">
        <v>32</v>
      </c>
      <c r="S189" t="s">
        <v>50</v>
      </c>
      <c r="T189">
        <v>2</v>
      </c>
      <c r="U189" t="s">
        <v>37</v>
      </c>
      <c r="V189" t="s">
        <v>26</v>
      </c>
      <c r="W189">
        <v>1</v>
      </c>
      <c r="X189" t="s">
        <v>28</v>
      </c>
      <c r="Y189" t="s">
        <v>28</v>
      </c>
      <c r="Z189">
        <v>1</v>
      </c>
      <c r="AA189">
        <v>0</v>
      </c>
      <c r="AB189">
        <v>1</v>
      </c>
      <c r="AC189">
        <v>1</v>
      </c>
      <c r="AD189">
        <v>1</v>
      </c>
      <c r="AE189">
        <v>0</v>
      </c>
      <c r="AF189">
        <v>0</v>
      </c>
      <c r="AG189">
        <v>1</v>
      </c>
      <c r="AH189">
        <v>1</v>
      </c>
      <c r="AI189">
        <v>1</v>
      </c>
      <c r="AJ189" t="s">
        <v>36</v>
      </c>
      <c r="AK189">
        <v>0</v>
      </c>
      <c r="AL189">
        <f t="shared" si="13"/>
        <v>7</v>
      </c>
      <c r="AM189">
        <v>0</v>
      </c>
      <c r="AN189">
        <v>0</v>
      </c>
      <c r="AO189">
        <f t="shared" si="14"/>
        <v>0</v>
      </c>
    </row>
    <row r="190" spans="1:42" x14ac:dyDescent="0.3">
      <c r="A190" t="s">
        <v>437</v>
      </c>
      <c r="B190" s="17">
        <v>46001</v>
      </c>
      <c r="C190" s="6" t="s">
        <v>238</v>
      </c>
      <c r="D190" s="6">
        <v>2</v>
      </c>
      <c r="E190">
        <v>1</v>
      </c>
      <c r="F190">
        <v>1</v>
      </c>
      <c r="G190" t="str">
        <f>A190 &amp; "-" &amp; C190 &amp; "-" &amp; D190 &amp; "-" &amp; E190 &amp; "-" &amp; F190</f>
        <v>ID_192-M-2-1-1</v>
      </c>
      <c r="H190" s="4">
        <v>0.41875000000000001</v>
      </c>
      <c r="I190" s="4">
        <v>0.42569444444444443</v>
      </c>
      <c r="J190" s="25">
        <f t="shared" si="10"/>
        <v>10.050000000000001</v>
      </c>
      <c r="K190" s="5">
        <v>19.399999999999999</v>
      </c>
      <c r="L190" s="5">
        <v>19.399999999999999</v>
      </c>
      <c r="M190" s="5">
        <f t="shared" si="11"/>
        <v>19.399999999999999</v>
      </c>
      <c r="N190">
        <v>25.8</v>
      </c>
      <c r="O190">
        <v>28.1</v>
      </c>
      <c r="P190">
        <v>33.700000000000003</v>
      </c>
      <c r="Q190">
        <f t="shared" si="12"/>
        <v>29.200000000000003</v>
      </c>
      <c r="R190" t="s">
        <v>32</v>
      </c>
      <c r="S190" t="s">
        <v>50</v>
      </c>
      <c r="T190">
        <v>2</v>
      </c>
      <c r="U190" t="s">
        <v>37</v>
      </c>
      <c r="V190" t="s">
        <v>26</v>
      </c>
      <c r="W190">
        <v>1</v>
      </c>
      <c r="X190" t="s">
        <v>28</v>
      </c>
      <c r="Y190" t="s">
        <v>28</v>
      </c>
      <c r="Z190">
        <v>1</v>
      </c>
      <c r="AA190">
        <v>0</v>
      </c>
      <c r="AB190">
        <v>1</v>
      </c>
      <c r="AC190">
        <v>1</v>
      </c>
      <c r="AD190">
        <v>0</v>
      </c>
      <c r="AE190">
        <v>0</v>
      </c>
      <c r="AF190">
        <v>0</v>
      </c>
      <c r="AG190">
        <v>1</v>
      </c>
      <c r="AH190">
        <v>0</v>
      </c>
      <c r="AI190">
        <v>1</v>
      </c>
      <c r="AJ190" t="s">
        <v>194</v>
      </c>
      <c r="AK190">
        <v>1</v>
      </c>
      <c r="AL190">
        <f t="shared" si="13"/>
        <v>6</v>
      </c>
      <c r="AM190">
        <v>0</v>
      </c>
      <c r="AN190">
        <v>0</v>
      </c>
      <c r="AO190">
        <f t="shared" si="14"/>
        <v>0</v>
      </c>
    </row>
    <row r="191" spans="1:42" x14ac:dyDescent="0.3">
      <c r="A191" t="s">
        <v>438</v>
      </c>
      <c r="B191" s="17">
        <v>46001</v>
      </c>
      <c r="C191" s="6" t="s">
        <v>238</v>
      </c>
      <c r="D191" s="6">
        <v>2</v>
      </c>
      <c r="E191">
        <v>1</v>
      </c>
      <c r="F191">
        <v>1</v>
      </c>
      <c r="G191" t="str">
        <f>A191 &amp; "-" &amp; C191 &amp; "-" &amp; D191 &amp; "-" &amp; E191 &amp; "-" &amp; F191</f>
        <v>ID_193-M-2-1-1</v>
      </c>
      <c r="H191" s="4">
        <v>0.57916666666666672</v>
      </c>
      <c r="I191" s="4">
        <v>0.58611111111111114</v>
      </c>
      <c r="J191" s="25">
        <f t="shared" si="10"/>
        <v>13.9</v>
      </c>
      <c r="K191" s="5">
        <v>28.5</v>
      </c>
      <c r="L191" s="5">
        <v>28.8</v>
      </c>
      <c r="M191" s="5">
        <f t="shared" si="11"/>
        <v>28.65</v>
      </c>
      <c r="N191">
        <v>25.8</v>
      </c>
      <c r="O191">
        <v>28.1</v>
      </c>
      <c r="P191">
        <v>33.700000000000003</v>
      </c>
      <c r="Q191">
        <f t="shared" si="12"/>
        <v>29.200000000000003</v>
      </c>
      <c r="R191" t="s">
        <v>50</v>
      </c>
      <c r="S191" t="s">
        <v>50</v>
      </c>
      <c r="T191">
        <v>1</v>
      </c>
      <c r="U191" t="s">
        <v>37</v>
      </c>
      <c r="V191" t="s">
        <v>37</v>
      </c>
      <c r="W191">
        <v>1</v>
      </c>
      <c r="X191" t="s">
        <v>28</v>
      </c>
      <c r="Y191" t="s">
        <v>28</v>
      </c>
      <c r="Z191">
        <v>1</v>
      </c>
      <c r="AA191">
        <v>0</v>
      </c>
      <c r="AB191">
        <v>0</v>
      </c>
      <c r="AC191">
        <v>1</v>
      </c>
      <c r="AD191">
        <v>0</v>
      </c>
      <c r="AE191">
        <v>0</v>
      </c>
      <c r="AF191">
        <v>0</v>
      </c>
      <c r="AG191">
        <v>1</v>
      </c>
      <c r="AH191">
        <v>1</v>
      </c>
      <c r="AI191">
        <v>1</v>
      </c>
      <c r="AJ191" t="s">
        <v>36</v>
      </c>
      <c r="AK191">
        <v>0</v>
      </c>
      <c r="AL191">
        <f t="shared" si="13"/>
        <v>5</v>
      </c>
      <c r="AM191">
        <v>0</v>
      </c>
      <c r="AN191">
        <v>0</v>
      </c>
      <c r="AO191">
        <f t="shared" si="14"/>
        <v>0</v>
      </c>
    </row>
    <row r="192" spans="1:42" x14ac:dyDescent="0.3">
      <c r="A192" t="s">
        <v>439</v>
      </c>
      <c r="B192" s="17">
        <v>46001</v>
      </c>
      <c r="C192" s="6" t="s">
        <v>238</v>
      </c>
      <c r="D192" s="6">
        <v>2</v>
      </c>
      <c r="E192">
        <v>1</v>
      </c>
      <c r="F192">
        <v>1</v>
      </c>
      <c r="G192" t="str">
        <f>A192 &amp; "-" &amp; C192 &amp; "-" &amp; D192 &amp; "-" &amp; E192 &amp; "-" &amp; F192</f>
        <v>ID_194-M-2-1-1</v>
      </c>
      <c r="H192" s="4">
        <v>0.57916666666666672</v>
      </c>
      <c r="I192" s="4">
        <v>0.58611111111111114</v>
      </c>
      <c r="J192" s="25">
        <f t="shared" si="10"/>
        <v>13.9</v>
      </c>
      <c r="K192" s="5">
        <v>28.5</v>
      </c>
      <c r="L192" s="5">
        <v>28.8</v>
      </c>
      <c r="M192" s="5">
        <f t="shared" si="11"/>
        <v>28.65</v>
      </c>
      <c r="N192">
        <v>25.8</v>
      </c>
      <c r="O192">
        <v>28.1</v>
      </c>
      <c r="P192">
        <v>33.700000000000003</v>
      </c>
      <c r="Q192">
        <f t="shared" si="12"/>
        <v>29.200000000000003</v>
      </c>
      <c r="R192" t="s">
        <v>50</v>
      </c>
      <c r="S192" t="s">
        <v>50</v>
      </c>
      <c r="T192">
        <v>1</v>
      </c>
      <c r="U192" t="s">
        <v>37</v>
      </c>
      <c r="V192" t="s">
        <v>26</v>
      </c>
      <c r="W192">
        <v>1</v>
      </c>
      <c r="X192" t="s">
        <v>28</v>
      </c>
      <c r="Y192" t="s">
        <v>28</v>
      </c>
      <c r="Z192">
        <v>1</v>
      </c>
      <c r="AA192">
        <v>0</v>
      </c>
      <c r="AB192">
        <v>0</v>
      </c>
      <c r="AC192">
        <v>1</v>
      </c>
      <c r="AD192">
        <v>1</v>
      </c>
      <c r="AE192">
        <v>0</v>
      </c>
      <c r="AF192">
        <v>0</v>
      </c>
      <c r="AG192">
        <v>1</v>
      </c>
      <c r="AH192">
        <v>1</v>
      </c>
      <c r="AI192">
        <v>1</v>
      </c>
      <c r="AJ192" t="s">
        <v>36</v>
      </c>
      <c r="AK192">
        <v>0</v>
      </c>
      <c r="AL192">
        <f t="shared" si="13"/>
        <v>6</v>
      </c>
      <c r="AM192">
        <v>0</v>
      </c>
      <c r="AN192">
        <v>0</v>
      </c>
      <c r="AO192">
        <f t="shared" si="14"/>
        <v>0</v>
      </c>
    </row>
    <row r="193" spans="1:43" x14ac:dyDescent="0.3">
      <c r="A193" t="s">
        <v>440</v>
      </c>
      <c r="B193" s="17">
        <v>46001</v>
      </c>
      <c r="C193" s="6" t="s">
        <v>238</v>
      </c>
      <c r="D193" s="6">
        <v>3</v>
      </c>
      <c r="E193">
        <v>1</v>
      </c>
      <c r="F193">
        <v>1</v>
      </c>
      <c r="G193" t="str">
        <f>A193 &amp; "-" &amp; C193 &amp; "-" &amp; D193 &amp; "-" &amp; E193 &amp; "-" &amp; F193</f>
        <v>ID_195-M-3-1-1</v>
      </c>
      <c r="H193" s="4">
        <v>0.4284722222222222</v>
      </c>
      <c r="I193" s="4">
        <v>0.43541666666666667</v>
      </c>
      <c r="J193" s="25">
        <f t="shared" si="10"/>
        <v>10.283333333333333</v>
      </c>
      <c r="K193" s="5">
        <v>19.399999999999999</v>
      </c>
      <c r="L193" s="5">
        <v>19.8</v>
      </c>
      <c r="M193" s="5">
        <f t="shared" si="11"/>
        <v>19.600000000000001</v>
      </c>
      <c r="N193">
        <v>25.8</v>
      </c>
      <c r="O193">
        <v>28.1</v>
      </c>
      <c r="P193">
        <v>33.700000000000003</v>
      </c>
      <c r="Q193">
        <f t="shared" si="12"/>
        <v>29.200000000000003</v>
      </c>
      <c r="R193" t="s">
        <v>50</v>
      </c>
      <c r="S193" t="s">
        <v>50</v>
      </c>
      <c r="T193">
        <v>1</v>
      </c>
      <c r="U193" t="s">
        <v>26</v>
      </c>
      <c r="V193" t="s">
        <v>26</v>
      </c>
      <c r="W193">
        <v>2</v>
      </c>
      <c r="X193" t="s">
        <v>28</v>
      </c>
      <c r="Y193" t="s">
        <v>28</v>
      </c>
      <c r="Z193">
        <v>1</v>
      </c>
      <c r="AA193">
        <v>0</v>
      </c>
      <c r="AB193">
        <v>0</v>
      </c>
      <c r="AC193">
        <v>1</v>
      </c>
      <c r="AD193">
        <v>1</v>
      </c>
      <c r="AE193">
        <v>1</v>
      </c>
      <c r="AF193">
        <v>0</v>
      </c>
      <c r="AG193">
        <v>1</v>
      </c>
      <c r="AH193">
        <v>0</v>
      </c>
      <c r="AI193">
        <v>0</v>
      </c>
      <c r="AJ193" t="s">
        <v>36</v>
      </c>
      <c r="AK193">
        <v>0</v>
      </c>
      <c r="AL193">
        <f t="shared" si="13"/>
        <v>5</v>
      </c>
      <c r="AM193">
        <v>0</v>
      </c>
      <c r="AN193">
        <v>0</v>
      </c>
      <c r="AO193">
        <f t="shared" si="14"/>
        <v>0</v>
      </c>
    </row>
    <row r="194" spans="1:43" x14ac:dyDescent="0.3">
      <c r="A194" t="s">
        <v>441</v>
      </c>
      <c r="B194" s="17">
        <v>46001</v>
      </c>
      <c r="C194" s="6" t="s">
        <v>238</v>
      </c>
      <c r="D194" s="6">
        <v>3</v>
      </c>
      <c r="E194">
        <v>1</v>
      </c>
      <c r="F194">
        <v>1</v>
      </c>
      <c r="G194" t="str">
        <f>A194 &amp; "-" &amp; C194 &amp; "-" &amp; D194 &amp; "-" &amp; E194 &amp; "-" &amp; F194</f>
        <v>ID_196-M-3-1-1</v>
      </c>
      <c r="H194" s="4">
        <v>0.4284722222222222</v>
      </c>
      <c r="I194" s="4">
        <v>0.43541666666666667</v>
      </c>
      <c r="J194" s="25">
        <f t="shared" ref="J194:J257" si="15">HOUR(H194)+(MINUTE(H194))/60</f>
        <v>10.283333333333333</v>
      </c>
      <c r="K194" s="5">
        <v>19.399999999999999</v>
      </c>
      <c r="L194" s="5">
        <v>19.8</v>
      </c>
      <c r="M194" s="5">
        <f t="shared" ref="M194:M257" si="16">(K194+L194)/2</f>
        <v>19.600000000000001</v>
      </c>
      <c r="N194">
        <v>25.8</v>
      </c>
      <c r="O194">
        <v>28.1</v>
      </c>
      <c r="P194">
        <v>33.700000000000003</v>
      </c>
      <c r="Q194">
        <f t="shared" ref="Q194:Q215" si="17">(N194+O194+P194)/3</f>
        <v>29.200000000000003</v>
      </c>
      <c r="R194" t="s">
        <v>50</v>
      </c>
      <c r="S194" t="s">
        <v>50</v>
      </c>
      <c r="T194">
        <v>1</v>
      </c>
      <c r="U194" t="s">
        <v>37</v>
      </c>
      <c r="V194" t="s">
        <v>47</v>
      </c>
      <c r="W194">
        <v>1</v>
      </c>
      <c r="X194" t="s">
        <v>28</v>
      </c>
      <c r="Y194" t="s">
        <v>28</v>
      </c>
      <c r="Z194">
        <v>1</v>
      </c>
      <c r="AA194">
        <v>0</v>
      </c>
      <c r="AB194">
        <v>0</v>
      </c>
      <c r="AC194">
        <v>1</v>
      </c>
      <c r="AD194">
        <v>1</v>
      </c>
      <c r="AE194">
        <v>0</v>
      </c>
      <c r="AF194">
        <v>0</v>
      </c>
      <c r="AG194">
        <v>1</v>
      </c>
      <c r="AH194">
        <v>1</v>
      </c>
      <c r="AI194">
        <v>1</v>
      </c>
      <c r="AJ194" t="s">
        <v>36</v>
      </c>
      <c r="AK194">
        <v>0</v>
      </c>
      <c r="AL194">
        <f t="shared" ref="AL194:AL257" si="18">Z194+AA194+AB194+AC194+AD194+AE194+AF194+AG194+AH194+AI194+AK194</f>
        <v>6</v>
      </c>
      <c r="AM194">
        <v>0</v>
      </c>
      <c r="AN194">
        <v>0</v>
      </c>
      <c r="AO194">
        <f t="shared" ref="AO194:AO257" si="19">AM194+AN194</f>
        <v>0</v>
      </c>
    </row>
    <row r="195" spans="1:43" x14ac:dyDescent="0.3">
      <c r="A195" t="s">
        <v>442</v>
      </c>
      <c r="B195" s="17">
        <v>46001</v>
      </c>
      <c r="C195" s="6" t="s">
        <v>238</v>
      </c>
      <c r="D195" s="6">
        <v>3</v>
      </c>
      <c r="E195">
        <v>2</v>
      </c>
      <c r="F195">
        <v>1</v>
      </c>
      <c r="G195" t="str">
        <f>A195 &amp; "-" &amp; C195 &amp; "-" &amp; D195 &amp; "-" &amp; E195 &amp; "-" &amp; F195</f>
        <v>ID_197-M-3-2-1</v>
      </c>
      <c r="H195" s="4">
        <v>0.4375</v>
      </c>
      <c r="I195" s="4">
        <v>0.44513888888888886</v>
      </c>
      <c r="J195" s="25">
        <f t="shared" si="15"/>
        <v>10.5</v>
      </c>
      <c r="K195" s="5">
        <v>19.8</v>
      </c>
      <c r="L195" s="5">
        <v>20.5</v>
      </c>
      <c r="M195" s="5">
        <f t="shared" si="16"/>
        <v>20.149999999999999</v>
      </c>
      <c r="N195">
        <v>25.8</v>
      </c>
      <c r="O195">
        <v>28.1</v>
      </c>
      <c r="P195">
        <v>33.700000000000003</v>
      </c>
      <c r="Q195">
        <f t="shared" si="17"/>
        <v>29.200000000000003</v>
      </c>
      <c r="R195" t="s">
        <v>50</v>
      </c>
      <c r="S195" t="s">
        <v>50</v>
      </c>
      <c r="T195">
        <v>1</v>
      </c>
      <c r="U195" t="s">
        <v>26</v>
      </c>
      <c r="V195" t="s">
        <v>26</v>
      </c>
      <c r="W195">
        <v>2</v>
      </c>
      <c r="X195" t="s">
        <v>28</v>
      </c>
      <c r="Y195" t="s">
        <v>28</v>
      </c>
      <c r="Z195">
        <v>1</v>
      </c>
      <c r="AA195">
        <v>0</v>
      </c>
      <c r="AB195">
        <v>1</v>
      </c>
      <c r="AC195">
        <v>1</v>
      </c>
      <c r="AD195">
        <v>1</v>
      </c>
      <c r="AE195">
        <v>0</v>
      </c>
      <c r="AF195">
        <v>0</v>
      </c>
      <c r="AG195">
        <v>1</v>
      </c>
      <c r="AH195">
        <v>1</v>
      </c>
      <c r="AI195">
        <v>1</v>
      </c>
      <c r="AJ195" t="s">
        <v>177</v>
      </c>
      <c r="AK195">
        <v>1</v>
      </c>
      <c r="AL195">
        <f t="shared" si="18"/>
        <v>8</v>
      </c>
      <c r="AM195">
        <v>0</v>
      </c>
      <c r="AN195">
        <v>0</v>
      </c>
      <c r="AO195">
        <f t="shared" si="19"/>
        <v>0</v>
      </c>
    </row>
    <row r="196" spans="1:43" x14ac:dyDescent="0.3">
      <c r="A196" t="s">
        <v>443</v>
      </c>
      <c r="B196" s="17">
        <v>46001</v>
      </c>
      <c r="C196" s="6" t="s">
        <v>238</v>
      </c>
      <c r="D196" s="6">
        <v>3</v>
      </c>
      <c r="E196">
        <v>2</v>
      </c>
      <c r="F196">
        <v>1</v>
      </c>
      <c r="G196" t="str">
        <f>A196 &amp; "-" &amp; C196 &amp; "-" &amp; D196 &amp; "-" &amp; E196 &amp; "-" &amp; F196</f>
        <v>ID_198-M-3-2-1</v>
      </c>
      <c r="H196" s="4">
        <v>0.4375</v>
      </c>
      <c r="I196" s="4">
        <v>0.44444444444444442</v>
      </c>
      <c r="J196" s="25">
        <f t="shared" si="15"/>
        <v>10.5</v>
      </c>
      <c r="K196" s="5">
        <v>19.8</v>
      </c>
      <c r="L196" s="5">
        <v>20.5</v>
      </c>
      <c r="M196" s="5">
        <f t="shared" si="16"/>
        <v>20.149999999999999</v>
      </c>
      <c r="N196">
        <v>25.8</v>
      </c>
      <c r="O196">
        <v>28.1</v>
      </c>
      <c r="P196">
        <v>33.700000000000003</v>
      </c>
      <c r="Q196">
        <f t="shared" si="17"/>
        <v>29.200000000000003</v>
      </c>
      <c r="R196" t="s">
        <v>50</v>
      </c>
      <c r="S196" t="s">
        <v>50</v>
      </c>
      <c r="T196">
        <v>1</v>
      </c>
      <c r="U196" t="s">
        <v>26</v>
      </c>
      <c r="V196" t="s">
        <v>26</v>
      </c>
      <c r="W196">
        <v>2</v>
      </c>
      <c r="X196" t="s">
        <v>28</v>
      </c>
      <c r="Y196" t="s">
        <v>28</v>
      </c>
      <c r="Z196">
        <v>1</v>
      </c>
      <c r="AA196">
        <v>0</v>
      </c>
      <c r="AB196">
        <v>0</v>
      </c>
      <c r="AC196">
        <v>1</v>
      </c>
      <c r="AD196">
        <v>1</v>
      </c>
      <c r="AE196">
        <v>0</v>
      </c>
      <c r="AF196">
        <v>0</v>
      </c>
      <c r="AG196">
        <v>1</v>
      </c>
      <c r="AH196">
        <v>1</v>
      </c>
      <c r="AI196">
        <v>1</v>
      </c>
      <c r="AJ196" t="s">
        <v>51</v>
      </c>
      <c r="AK196">
        <v>1</v>
      </c>
      <c r="AL196">
        <f t="shared" si="18"/>
        <v>7</v>
      </c>
      <c r="AM196">
        <v>0</v>
      </c>
      <c r="AN196">
        <v>0</v>
      </c>
      <c r="AO196">
        <f t="shared" si="19"/>
        <v>0</v>
      </c>
    </row>
    <row r="197" spans="1:43" x14ac:dyDescent="0.3">
      <c r="A197" t="s">
        <v>444</v>
      </c>
      <c r="B197" s="17">
        <v>46001</v>
      </c>
      <c r="C197" s="6" t="s">
        <v>238</v>
      </c>
      <c r="D197" s="6">
        <v>3</v>
      </c>
      <c r="E197">
        <v>3</v>
      </c>
      <c r="F197">
        <v>1</v>
      </c>
      <c r="G197" t="str">
        <f>A197 &amp; "-" &amp; C197 &amp; "-" &amp; D197 &amp; "-" &amp; E197 &amp; "-" &amp; F197</f>
        <v>ID_199-M-3-3-1</v>
      </c>
      <c r="H197" s="4">
        <v>0.4465277777777778</v>
      </c>
      <c r="I197" s="4">
        <v>0.45347222222222222</v>
      </c>
      <c r="J197" s="25">
        <f t="shared" si="15"/>
        <v>10.716666666666667</v>
      </c>
      <c r="K197" s="5">
        <v>20.5</v>
      </c>
      <c r="L197" s="5">
        <v>20.3</v>
      </c>
      <c r="M197" s="5">
        <f t="shared" si="16"/>
        <v>20.399999999999999</v>
      </c>
      <c r="N197">
        <v>25.8</v>
      </c>
      <c r="O197">
        <v>28.1</v>
      </c>
      <c r="P197">
        <v>33.700000000000003</v>
      </c>
      <c r="Q197">
        <f t="shared" si="17"/>
        <v>29.200000000000003</v>
      </c>
      <c r="R197" t="s">
        <v>50</v>
      </c>
      <c r="S197" t="s">
        <v>50</v>
      </c>
      <c r="T197">
        <v>1</v>
      </c>
      <c r="U197" t="s">
        <v>26</v>
      </c>
      <c r="V197" t="s">
        <v>26</v>
      </c>
      <c r="W197">
        <v>2</v>
      </c>
      <c r="X197" t="s">
        <v>28</v>
      </c>
      <c r="Y197" t="s">
        <v>28</v>
      </c>
      <c r="Z197">
        <v>1</v>
      </c>
      <c r="AA197">
        <v>0</v>
      </c>
      <c r="AB197">
        <v>0</v>
      </c>
      <c r="AC197">
        <v>1</v>
      </c>
      <c r="AD197">
        <v>1</v>
      </c>
      <c r="AE197">
        <v>0</v>
      </c>
      <c r="AF197">
        <v>0</v>
      </c>
      <c r="AG197">
        <v>1</v>
      </c>
      <c r="AH197">
        <v>1</v>
      </c>
      <c r="AI197">
        <v>1</v>
      </c>
      <c r="AJ197" t="s">
        <v>212</v>
      </c>
      <c r="AK197">
        <v>4</v>
      </c>
      <c r="AL197">
        <f t="shared" si="18"/>
        <v>10</v>
      </c>
      <c r="AM197">
        <v>0</v>
      </c>
      <c r="AN197">
        <v>0</v>
      </c>
      <c r="AO197">
        <f t="shared" si="19"/>
        <v>0</v>
      </c>
    </row>
    <row r="198" spans="1:43" x14ac:dyDescent="0.3">
      <c r="A198" t="s">
        <v>445</v>
      </c>
      <c r="B198" s="17">
        <v>46001</v>
      </c>
      <c r="C198" s="6" t="s">
        <v>238</v>
      </c>
      <c r="D198" s="6">
        <v>3</v>
      </c>
      <c r="E198">
        <v>3</v>
      </c>
      <c r="F198">
        <v>1</v>
      </c>
      <c r="G198" t="str">
        <f>A198 &amp; "-" &amp; C198 &amp; "-" &amp; D198 &amp; "-" &amp; E198 &amp; "-" &amp; F198</f>
        <v>ID_200-M-3-3-1</v>
      </c>
      <c r="H198" s="4">
        <v>0.4465277777777778</v>
      </c>
      <c r="I198" s="4">
        <v>0.45347222222222222</v>
      </c>
      <c r="J198" s="25">
        <f t="shared" si="15"/>
        <v>10.716666666666667</v>
      </c>
      <c r="K198" s="5">
        <v>20.5</v>
      </c>
      <c r="L198" s="5">
        <v>20.3</v>
      </c>
      <c r="M198" s="5">
        <f t="shared" si="16"/>
        <v>20.399999999999999</v>
      </c>
      <c r="N198">
        <v>25.8</v>
      </c>
      <c r="O198">
        <v>28.1</v>
      </c>
      <c r="P198">
        <v>33.700000000000003</v>
      </c>
      <c r="Q198">
        <f t="shared" si="17"/>
        <v>29.200000000000003</v>
      </c>
      <c r="R198" t="s">
        <v>50</v>
      </c>
      <c r="S198" t="s">
        <v>50</v>
      </c>
      <c r="T198">
        <v>1</v>
      </c>
      <c r="U198" t="s">
        <v>26</v>
      </c>
      <c r="V198" t="s">
        <v>26</v>
      </c>
      <c r="W198">
        <v>2</v>
      </c>
      <c r="X198" t="s">
        <v>28</v>
      </c>
      <c r="Y198" t="s">
        <v>28</v>
      </c>
      <c r="Z198">
        <v>1</v>
      </c>
      <c r="AA198">
        <v>0</v>
      </c>
      <c r="AB198">
        <v>0</v>
      </c>
      <c r="AC198">
        <v>1</v>
      </c>
      <c r="AD198">
        <v>1</v>
      </c>
      <c r="AE198">
        <v>1</v>
      </c>
      <c r="AF198">
        <v>0</v>
      </c>
      <c r="AG198">
        <v>1</v>
      </c>
      <c r="AH198">
        <v>1</v>
      </c>
      <c r="AI198">
        <v>1</v>
      </c>
      <c r="AJ198" t="s">
        <v>36</v>
      </c>
      <c r="AK198">
        <v>0</v>
      </c>
      <c r="AL198">
        <f t="shared" si="18"/>
        <v>7</v>
      </c>
      <c r="AM198">
        <v>0</v>
      </c>
      <c r="AN198">
        <v>0</v>
      </c>
      <c r="AO198">
        <f t="shared" si="19"/>
        <v>0</v>
      </c>
    </row>
    <row r="199" spans="1:43" x14ac:dyDescent="0.3">
      <c r="A199" t="s">
        <v>446</v>
      </c>
      <c r="B199" s="17">
        <v>46001</v>
      </c>
      <c r="C199" s="6" t="s">
        <v>238</v>
      </c>
      <c r="D199" s="6">
        <v>4</v>
      </c>
      <c r="E199">
        <v>1</v>
      </c>
      <c r="F199">
        <v>1</v>
      </c>
      <c r="G199" t="str">
        <f>A199 &amp; "-" &amp; C199 &amp; "-" &amp; D199 &amp; "-" &amp; E199 &amp; "-" &amp; F199</f>
        <v>ID_201-M-4-1-1</v>
      </c>
      <c r="H199" s="4">
        <v>0.46736111111111112</v>
      </c>
      <c r="I199" s="4">
        <v>0.47430555555555554</v>
      </c>
      <c r="J199" s="25">
        <f t="shared" si="15"/>
        <v>11.216666666666667</v>
      </c>
      <c r="K199" s="5">
        <v>21.3</v>
      </c>
      <c r="L199" s="5">
        <v>22.1</v>
      </c>
      <c r="M199" s="5">
        <f t="shared" si="16"/>
        <v>21.700000000000003</v>
      </c>
      <c r="N199">
        <v>25.8</v>
      </c>
      <c r="O199">
        <v>28.1</v>
      </c>
      <c r="P199">
        <v>33.700000000000003</v>
      </c>
      <c r="Q199">
        <f t="shared" si="17"/>
        <v>29.200000000000003</v>
      </c>
      <c r="R199" t="s">
        <v>50</v>
      </c>
      <c r="S199" t="s">
        <v>50</v>
      </c>
      <c r="T199">
        <v>1</v>
      </c>
      <c r="U199" t="s">
        <v>26</v>
      </c>
      <c r="V199" t="s">
        <v>26</v>
      </c>
      <c r="W199">
        <v>2</v>
      </c>
      <c r="X199" t="s">
        <v>28</v>
      </c>
      <c r="Y199" t="s">
        <v>28</v>
      </c>
      <c r="Z199">
        <v>1</v>
      </c>
      <c r="AA199">
        <v>0</v>
      </c>
      <c r="AB199">
        <v>1</v>
      </c>
      <c r="AC199">
        <v>1</v>
      </c>
      <c r="AD199">
        <v>0</v>
      </c>
      <c r="AE199">
        <v>0</v>
      </c>
      <c r="AF199">
        <v>0</v>
      </c>
      <c r="AG199">
        <v>1</v>
      </c>
      <c r="AH199">
        <v>0</v>
      </c>
      <c r="AI199">
        <v>1</v>
      </c>
      <c r="AJ199" t="s">
        <v>51</v>
      </c>
      <c r="AK199">
        <v>1</v>
      </c>
      <c r="AL199">
        <f t="shared" si="18"/>
        <v>6</v>
      </c>
      <c r="AM199">
        <v>0</v>
      </c>
      <c r="AN199">
        <v>0</v>
      </c>
      <c r="AO199">
        <f t="shared" si="19"/>
        <v>0</v>
      </c>
    </row>
    <row r="200" spans="1:43" x14ac:dyDescent="0.3">
      <c r="A200" t="s">
        <v>447</v>
      </c>
      <c r="B200" s="17">
        <v>46001</v>
      </c>
      <c r="C200" s="6" t="s">
        <v>238</v>
      </c>
      <c r="D200" s="6">
        <v>4</v>
      </c>
      <c r="E200">
        <v>1</v>
      </c>
      <c r="F200">
        <v>1</v>
      </c>
      <c r="G200" t="str">
        <f>A200 &amp; "-" &amp; C200 &amp; "-" &amp; D200 &amp; "-" &amp; E200 &amp; "-" &amp; F200</f>
        <v>ID_202-M-4-1-1</v>
      </c>
      <c r="H200" s="4">
        <v>0.46736111111111112</v>
      </c>
      <c r="I200" s="4">
        <v>0.47430555555555554</v>
      </c>
      <c r="J200" s="25">
        <f t="shared" si="15"/>
        <v>11.216666666666667</v>
      </c>
      <c r="K200" s="5">
        <v>21.3</v>
      </c>
      <c r="L200" s="5">
        <v>22.1</v>
      </c>
      <c r="M200" s="5">
        <f t="shared" si="16"/>
        <v>21.700000000000003</v>
      </c>
      <c r="N200">
        <v>25.8</v>
      </c>
      <c r="O200">
        <v>28.1</v>
      </c>
      <c r="P200">
        <v>33.700000000000003</v>
      </c>
      <c r="Q200">
        <f t="shared" si="17"/>
        <v>29.200000000000003</v>
      </c>
      <c r="R200" t="s">
        <v>50</v>
      </c>
      <c r="S200" t="s">
        <v>50</v>
      </c>
      <c r="T200">
        <v>1</v>
      </c>
      <c r="U200" t="s">
        <v>37</v>
      </c>
      <c r="V200" t="s">
        <v>37</v>
      </c>
      <c r="W200">
        <v>1</v>
      </c>
      <c r="X200" t="s">
        <v>28</v>
      </c>
      <c r="Y200" t="s">
        <v>28</v>
      </c>
      <c r="Z200">
        <v>1</v>
      </c>
      <c r="AA200">
        <v>0</v>
      </c>
      <c r="AB200">
        <v>1</v>
      </c>
      <c r="AC200">
        <v>1</v>
      </c>
      <c r="AD200">
        <v>1</v>
      </c>
      <c r="AE200">
        <v>0</v>
      </c>
      <c r="AF200">
        <v>0</v>
      </c>
      <c r="AG200">
        <v>1</v>
      </c>
      <c r="AH200">
        <v>0</v>
      </c>
      <c r="AI200">
        <v>1</v>
      </c>
      <c r="AJ200" t="s">
        <v>36</v>
      </c>
      <c r="AK200">
        <v>0</v>
      </c>
      <c r="AL200">
        <f t="shared" si="18"/>
        <v>6</v>
      </c>
      <c r="AM200">
        <v>0</v>
      </c>
      <c r="AN200">
        <v>0</v>
      </c>
      <c r="AO200">
        <f t="shared" si="19"/>
        <v>0</v>
      </c>
      <c r="AP200" t="s">
        <v>52</v>
      </c>
    </row>
    <row r="201" spans="1:43" x14ac:dyDescent="0.3">
      <c r="A201" t="s">
        <v>448</v>
      </c>
      <c r="B201" s="17">
        <v>46001</v>
      </c>
      <c r="C201" s="6" t="s">
        <v>238</v>
      </c>
      <c r="D201" s="6">
        <v>4</v>
      </c>
      <c r="E201">
        <v>1</v>
      </c>
      <c r="F201">
        <v>2</v>
      </c>
      <c r="G201" t="str">
        <f>A201 &amp; "-" &amp; C201 &amp; "-" &amp; D201 &amp; "-" &amp; E201 &amp; "-" &amp; F201</f>
        <v>ID_203-M-4-1-2</v>
      </c>
      <c r="H201" s="4">
        <v>0.47638888888888886</v>
      </c>
      <c r="I201" s="4">
        <v>0.48333333333333334</v>
      </c>
      <c r="J201" s="25">
        <f t="shared" si="15"/>
        <v>11.433333333333334</v>
      </c>
      <c r="K201" s="5">
        <v>22.1</v>
      </c>
      <c r="L201" s="5">
        <v>22.8</v>
      </c>
      <c r="M201" s="5">
        <f t="shared" si="16"/>
        <v>22.450000000000003</v>
      </c>
      <c r="N201">
        <v>25.8</v>
      </c>
      <c r="O201">
        <v>28.1</v>
      </c>
      <c r="P201">
        <v>33.700000000000003</v>
      </c>
      <c r="Q201">
        <f t="shared" si="17"/>
        <v>29.200000000000003</v>
      </c>
      <c r="R201" t="s">
        <v>50</v>
      </c>
      <c r="S201" t="s">
        <v>50</v>
      </c>
      <c r="T201">
        <v>1</v>
      </c>
      <c r="U201" t="s">
        <v>26</v>
      </c>
      <c r="V201" t="s">
        <v>26</v>
      </c>
      <c r="W201">
        <v>2</v>
      </c>
      <c r="X201" t="s">
        <v>28</v>
      </c>
      <c r="Y201" t="s">
        <v>28</v>
      </c>
      <c r="Z201">
        <v>1</v>
      </c>
      <c r="AA201">
        <v>0</v>
      </c>
      <c r="AB201">
        <v>0</v>
      </c>
      <c r="AC201">
        <v>1</v>
      </c>
      <c r="AD201">
        <v>1</v>
      </c>
      <c r="AE201">
        <v>1</v>
      </c>
      <c r="AF201">
        <v>0</v>
      </c>
      <c r="AG201">
        <v>1</v>
      </c>
      <c r="AH201">
        <v>1</v>
      </c>
      <c r="AI201">
        <v>1</v>
      </c>
      <c r="AJ201" t="s">
        <v>36</v>
      </c>
      <c r="AK201">
        <v>0</v>
      </c>
      <c r="AL201">
        <f t="shared" si="18"/>
        <v>7</v>
      </c>
      <c r="AM201">
        <v>0</v>
      </c>
      <c r="AN201">
        <v>0</v>
      </c>
      <c r="AO201">
        <f t="shared" si="19"/>
        <v>0</v>
      </c>
      <c r="AP201" t="s">
        <v>53</v>
      </c>
    </row>
    <row r="202" spans="1:43" x14ac:dyDescent="0.3">
      <c r="A202" t="s">
        <v>449</v>
      </c>
      <c r="B202" s="17">
        <v>46001</v>
      </c>
      <c r="C202" s="6" t="s">
        <v>238</v>
      </c>
      <c r="D202" s="6">
        <v>4</v>
      </c>
      <c r="E202">
        <v>2</v>
      </c>
      <c r="F202">
        <v>1</v>
      </c>
      <c r="G202" t="str">
        <f>A202 &amp; "-" &amp; C202 &amp; "-" &amp; D202 &amp; "-" &amp; E202 &amp; "-" &amp; F202</f>
        <v>ID_204-M-4-2-1</v>
      </c>
      <c r="H202" s="4">
        <v>0.47708333333333336</v>
      </c>
      <c r="I202" s="4">
        <v>0.48402777777777778</v>
      </c>
      <c r="J202" s="25">
        <f t="shared" si="15"/>
        <v>11.45</v>
      </c>
      <c r="K202" s="5">
        <v>22.1</v>
      </c>
      <c r="L202" s="5">
        <v>22.8</v>
      </c>
      <c r="M202" s="5">
        <f t="shared" si="16"/>
        <v>22.450000000000003</v>
      </c>
      <c r="N202">
        <v>25.8</v>
      </c>
      <c r="O202">
        <v>28.1</v>
      </c>
      <c r="P202">
        <v>33.700000000000003</v>
      </c>
      <c r="Q202">
        <f t="shared" si="17"/>
        <v>29.200000000000003</v>
      </c>
      <c r="R202" t="s">
        <v>50</v>
      </c>
      <c r="S202" t="s">
        <v>50</v>
      </c>
      <c r="T202">
        <v>1</v>
      </c>
      <c r="U202" t="s">
        <v>26</v>
      </c>
      <c r="V202" t="s">
        <v>26</v>
      </c>
      <c r="W202">
        <v>2</v>
      </c>
      <c r="X202" t="s">
        <v>28</v>
      </c>
      <c r="Y202" t="s">
        <v>28</v>
      </c>
      <c r="Z202">
        <v>1</v>
      </c>
      <c r="AA202">
        <v>0</v>
      </c>
      <c r="AB202">
        <v>0</v>
      </c>
      <c r="AC202">
        <v>1</v>
      </c>
      <c r="AD202">
        <v>1</v>
      </c>
      <c r="AE202">
        <v>0</v>
      </c>
      <c r="AF202">
        <v>0</v>
      </c>
      <c r="AG202">
        <v>1</v>
      </c>
      <c r="AH202">
        <v>1</v>
      </c>
      <c r="AI202">
        <v>1</v>
      </c>
      <c r="AJ202" t="s">
        <v>36</v>
      </c>
      <c r="AK202">
        <v>0</v>
      </c>
      <c r="AL202">
        <f t="shared" si="18"/>
        <v>6</v>
      </c>
      <c r="AM202">
        <v>1</v>
      </c>
      <c r="AN202">
        <v>0</v>
      </c>
      <c r="AO202">
        <f t="shared" si="19"/>
        <v>1</v>
      </c>
      <c r="AP202" t="s">
        <v>179</v>
      </c>
    </row>
    <row r="203" spans="1:43" x14ac:dyDescent="0.3">
      <c r="A203" t="s">
        <v>450</v>
      </c>
      <c r="B203" s="17">
        <v>46001</v>
      </c>
      <c r="C203" s="6" t="s">
        <v>238</v>
      </c>
      <c r="D203" s="6">
        <v>9</v>
      </c>
      <c r="E203">
        <v>1</v>
      </c>
      <c r="F203">
        <v>1</v>
      </c>
      <c r="G203" t="str">
        <f>A203 &amp; "-" &amp; C203 &amp; "-" &amp; D203 &amp; "-" &amp; E203 &amp; "-" &amp; F203</f>
        <v>ID_205-M-9-1-1</v>
      </c>
      <c r="H203" s="4">
        <v>0.53888888888888886</v>
      </c>
      <c r="I203" s="4">
        <v>0.54583333333333328</v>
      </c>
      <c r="J203" s="25">
        <f t="shared" si="15"/>
        <v>12.933333333333334</v>
      </c>
      <c r="K203" s="5">
        <v>24.6</v>
      </c>
      <c r="L203" s="5">
        <v>25.7</v>
      </c>
      <c r="M203" s="5">
        <f t="shared" si="16"/>
        <v>25.15</v>
      </c>
      <c r="N203">
        <v>25.8</v>
      </c>
      <c r="O203">
        <v>28.1</v>
      </c>
      <c r="P203">
        <v>33.700000000000003</v>
      </c>
      <c r="Q203">
        <f t="shared" si="17"/>
        <v>29.200000000000003</v>
      </c>
      <c r="R203" t="s">
        <v>50</v>
      </c>
      <c r="S203" t="s">
        <v>50</v>
      </c>
      <c r="T203">
        <v>1</v>
      </c>
      <c r="U203" t="s">
        <v>37</v>
      </c>
      <c r="V203" t="s">
        <v>37</v>
      </c>
      <c r="W203">
        <v>1</v>
      </c>
      <c r="X203" t="s">
        <v>28</v>
      </c>
      <c r="Y203" t="s">
        <v>28</v>
      </c>
      <c r="Z203">
        <v>1</v>
      </c>
      <c r="AA203">
        <v>0</v>
      </c>
      <c r="AB203">
        <v>0</v>
      </c>
      <c r="AC203">
        <v>1</v>
      </c>
      <c r="AD203">
        <v>0</v>
      </c>
      <c r="AE203">
        <v>0</v>
      </c>
      <c r="AF203">
        <v>0</v>
      </c>
      <c r="AG203">
        <v>1</v>
      </c>
      <c r="AH203">
        <v>1</v>
      </c>
      <c r="AI203">
        <v>0</v>
      </c>
      <c r="AJ203" t="s">
        <v>59</v>
      </c>
      <c r="AK203">
        <v>1</v>
      </c>
      <c r="AL203">
        <f t="shared" si="18"/>
        <v>5</v>
      </c>
      <c r="AM203">
        <v>0</v>
      </c>
      <c r="AN203">
        <v>0</v>
      </c>
      <c r="AO203">
        <f t="shared" si="19"/>
        <v>0</v>
      </c>
    </row>
    <row r="204" spans="1:43" x14ac:dyDescent="0.3">
      <c r="A204" t="s">
        <v>451</v>
      </c>
      <c r="B204" s="17">
        <v>46001</v>
      </c>
      <c r="C204" s="6" t="s">
        <v>238</v>
      </c>
      <c r="D204" s="6">
        <v>9</v>
      </c>
      <c r="E204">
        <v>1</v>
      </c>
      <c r="F204">
        <v>1</v>
      </c>
      <c r="G204" t="str">
        <f>A204 &amp; "-" &amp; C204 &amp; "-" &amp; D204 &amp; "-" &amp; E204 &amp; "-" &amp; F204</f>
        <v>ID_206-M-9-1-1</v>
      </c>
      <c r="H204" s="4">
        <v>0.53888888888888886</v>
      </c>
      <c r="I204" s="4">
        <v>0.54583333333333328</v>
      </c>
      <c r="J204" s="25">
        <f t="shared" si="15"/>
        <v>12.933333333333334</v>
      </c>
      <c r="K204" s="5">
        <v>24.6</v>
      </c>
      <c r="L204" s="5">
        <v>25.7</v>
      </c>
      <c r="M204" s="5">
        <f t="shared" si="16"/>
        <v>25.15</v>
      </c>
      <c r="N204">
        <v>25.8</v>
      </c>
      <c r="O204">
        <v>28.1</v>
      </c>
      <c r="P204">
        <v>33.700000000000003</v>
      </c>
      <c r="Q204">
        <f t="shared" si="17"/>
        <v>29.200000000000003</v>
      </c>
      <c r="R204" t="s">
        <v>50</v>
      </c>
      <c r="S204" t="s">
        <v>50</v>
      </c>
      <c r="T204">
        <v>1</v>
      </c>
      <c r="U204" t="s">
        <v>37</v>
      </c>
      <c r="V204" t="s">
        <v>26</v>
      </c>
      <c r="W204">
        <v>1</v>
      </c>
      <c r="X204" t="s">
        <v>28</v>
      </c>
      <c r="Y204" t="s">
        <v>28</v>
      </c>
      <c r="Z204">
        <v>1</v>
      </c>
      <c r="AA204">
        <v>0</v>
      </c>
      <c r="AB204">
        <v>0</v>
      </c>
      <c r="AC204">
        <v>1</v>
      </c>
      <c r="AD204">
        <v>0</v>
      </c>
      <c r="AE204">
        <v>0</v>
      </c>
      <c r="AF204">
        <v>0</v>
      </c>
      <c r="AG204">
        <v>1</v>
      </c>
      <c r="AH204">
        <v>1</v>
      </c>
      <c r="AI204">
        <v>0</v>
      </c>
      <c r="AJ204" t="s">
        <v>36</v>
      </c>
      <c r="AK204">
        <v>0</v>
      </c>
      <c r="AL204">
        <f t="shared" si="18"/>
        <v>4</v>
      </c>
      <c r="AM204">
        <v>1</v>
      </c>
      <c r="AN204">
        <v>0</v>
      </c>
      <c r="AO204">
        <f t="shared" si="19"/>
        <v>1</v>
      </c>
      <c r="AP204" t="s">
        <v>180</v>
      </c>
    </row>
    <row r="205" spans="1:43" x14ac:dyDescent="0.3">
      <c r="A205" t="s">
        <v>452</v>
      </c>
      <c r="B205" s="22">
        <v>46001</v>
      </c>
      <c r="C205" s="6" t="s">
        <v>238</v>
      </c>
      <c r="D205" s="6">
        <v>9</v>
      </c>
      <c r="E205">
        <v>1</v>
      </c>
      <c r="F205">
        <v>2</v>
      </c>
      <c r="G205" t="str">
        <f>A205 &amp; "-" &amp; C205 &amp; "-" &amp; D205 &amp; "-" &amp; E205 &amp; "-" &amp; F205</f>
        <v>ID_207-M-9-1-2</v>
      </c>
      <c r="H205" s="4">
        <v>0.54722222222222228</v>
      </c>
      <c r="I205" s="4">
        <v>0.5541666666666667</v>
      </c>
      <c r="J205" s="25">
        <f t="shared" si="15"/>
        <v>13.133333333333333</v>
      </c>
      <c r="K205" s="5">
        <v>25.7</v>
      </c>
      <c r="L205" s="5">
        <v>25.9</v>
      </c>
      <c r="M205" s="5">
        <f t="shared" si="16"/>
        <v>25.799999999999997</v>
      </c>
      <c r="N205">
        <v>25.8</v>
      </c>
      <c r="O205">
        <v>28.1</v>
      </c>
      <c r="P205">
        <v>33.700000000000003</v>
      </c>
      <c r="Q205">
        <f t="shared" si="17"/>
        <v>29.200000000000003</v>
      </c>
      <c r="R205" t="s">
        <v>50</v>
      </c>
      <c r="S205" t="s">
        <v>50</v>
      </c>
      <c r="T205">
        <v>1</v>
      </c>
      <c r="U205" t="s">
        <v>37</v>
      </c>
      <c r="V205" t="s">
        <v>37</v>
      </c>
      <c r="W205">
        <v>1</v>
      </c>
      <c r="X205" t="s">
        <v>28</v>
      </c>
      <c r="Y205" t="s">
        <v>28</v>
      </c>
      <c r="Z205">
        <v>1</v>
      </c>
      <c r="AA205">
        <v>0</v>
      </c>
      <c r="AB205">
        <v>0</v>
      </c>
      <c r="AC205">
        <v>1</v>
      </c>
      <c r="AD205">
        <v>0</v>
      </c>
      <c r="AE205">
        <v>0</v>
      </c>
      <c r="AF205">
        <v>0</v>
      </c>
      <c r="AG205">
        <v>1</v>
      </c>
      <c r="AH205">
        <v>1</v>
      </c>
      <c r="AI205">
        <v>1</v>
      </c>
      <c r="AJ205" t="s">
        <v>36</v>
      </c>
      <c r="AK205">
        <v>0</v>
      </c>
      <c r="AL205">
        <f t="shared" si="18"/>
        <v>5</v>
      </c>
      <c r="AM205">
        <v>4</v>
      </c>
      <c r="AN205">
        <v>0</v>
      </c>
      <c r="AO205">
        <f t="shared" si="19"/>
        <v>4</v>
      </c>
      <c r="AP205" t="s">
        <v>54</v>
      </c>
      <c r="AQ205" t="s">
        <v>55</v>
      </c>
    </row>
    <row r="206" spans="1:43" x14ac:dyDescent="0.3">
      <c r="A206" t="s">
        <v>453</v>
      </c>
      <c r="B206" s="17">
        <v>46002</v>
      </c>
      <c r="C206" s="6" t="s">
        <v>237</v>
      </c>
      <c r="D206" s="6">
        <v>1</v>
      </c>
      <c r="E206">
        <v>1</v>
      </c>
      <c r="F206">
        <v>1</v>
      </c>
      <c r="G206" t="str">
        <f>A206 &amp; "-" &amp; C206 &amp; "-" &amp; D206 &amp; "-" &amp; E206 &amp; "-" &amp; F206</f>
        <v>ID_208-L-1-1-1</v>
      </c>
      <c r="H206" s="4">
        <v>0.40902777777777777</v>
      </c>
      <c r="I206" s="4">
        <v>0.41666666666666669</v>
      </c>
      <c r="J206" s="25">
        <f t="shared" si="15"/>
        <v>9.8166666666666664</v>
      </c>
      <c r="K206" s="5">
        <v>18.100000000000001</v>
      </c>
      <c r="L206" s="5">
        <v>18.2</v>
      </c>
      <c r="M206" s="5">
        <f t="shared" si="16"/>
        <v>18.149999999999999</v>
      </c>
      <c r="N206">
        <v>28.1</v>
      </c>
      <c r="O206">
        <v>33.700000000000003</v>
      </c>
      <c r="P206">
        <v>33.1</v>
      </c>
      <c r="Q206">
        <f t="shared" si="17"/>
        <v>31.633333333333336</v>
      </c>
      <c r="R206" t="s">
        <v>25</v>
      </c>
      <c r="S206" t="s">
        <v>25</v>
      </c>
      <c r="T206">
        <v>5</v>
      </c>
      <c r="U206" t="s">
        <v>26</v>
      </c>
      <c r="V206" t="s">
        <v>26</v>
      </c>
      <c r="W206">
        <v>2</v>
      </c>
      <c r="X206" t="s">
        <v>28</v>
      </c>
      <c r="Y206" t="s">
        <v>28</v>
      </c>
      <c r="Z206">
        <v>0</v>
      </c>
      <c r="AA206">
        <v>0</v>
      </c>
      <c r="AB206">
        <v>1</v>
      </c>
      <c r="AC206">
        <v>0</v>
      </c>
      <c r="AD206">
        <v>0</v>
      </c>
      <c r="AE206">
        <v>0</v>
      </c>
      <c r="AF206">
        <v>0</v>
      </c>
      <c r="AG206">
        <v>1</v>
      </c>
      <c r="AH206">
        <v>0</v>
      </c>
      <c r="AI206">
        <v>1</v>
      </c>
      <c r="AJ206" t="s">
        <v>41</v>
      </c>
      <c r="AK206">
        <v>1</v>
      </c>
      <c r="AL206">
        <f t="shared" si="18"/>
        <v>4</v>
      </c>
      <c r="AM206">
        <v>0</v>
      </c>
      <c r="AN206">
        <v>0</v>
      </c>
      <c r="AO206">
        <f t="shared" si="19"/>
        <v>0</v>
      </c>
    </row>
    <row r="207" spans="1:43" x14ac:dyDescent="0.3">
      <c r="A207" t="s">
        <v>454</v>
      </c>
      <c r="B207" s="17">
        <v>46002</v>
      </c>
      <c r="C207" s="6" t="s">
        <v>237</v>
      </c>
      <c r="D207" s="6">
        <v>1</v>
      </c>
      <c r="E207">
        <v>1</v>
      </c>
      <c r="F207">
        <v>1</v>
      </c>
      <c r="G207" t="str">
        <f>A207 &amp; "-" &amp; C207 &amp; "-" &amp; D207 &amp; "-" &amp; E207 &amp; "-" &amp; F207</f>
        <v>ID_209-L-1-1-1</v>
      </c>
      <c r="H207" s="4">
        <v>0.40902777777777777</v>
      </c>
      <c r="I207" s="4">
        <v>0.41666666666666669</v>
      </c>
      <c r="J207" s="25">
        <f t="shared" si="15"/>
        <v>9.8166666666666664</v>
      </c>
      <c r="K207" s="5">
        <v>18.100000000000001</v>
      </c>
      <c r="L207" s="5">
        <v>18.2</v>
      </c>
      <c r="M207" s="5">
        <f t="shared" si="16"/>
        <v>18.149999999999999</v>
      </c>
      <c r="N207">
        <v>28.1</v>
      </c>
      <c r="O207">
        <v>33.700000000000003</v>
      </c>
      <c r="P207">
        <v>33.1</v>
      </c>
      <c r="Q207">
        <f t="shared" si="17"/>
        <v>31.633333333333336</v>
      </c>
      <c r="R207" t="s">
        <v>25</v>
      </c>
      <c r="S207" t="s">
        <v>25</v>
      </c>
      <c r="T207">
        <v>5</v>
      </c>
      <c r="U207" t="s">
        <v>26</v>
      </c>
      <c r="V207" t="s">
        <v>26</v>
      </c>
      <c r="W207">
        <v>2</v>
      </c>
      <c r="X207" t="s">
        <v>28</v>
      </c>
      <c r="Y207" t="s">
        <v>28</v>
      </c>
      <c r="Z207">
        <v>1</v>
      </c>
      <c r="AA207">
        <v>0</v>
      </c>
      <c r="AB207">
        <v>1</v>
      </c>
      <c r="AC207">
        <v>0</v>
      </c>
      <c r="AD207">
        <v>1</v>
      </c>
      <c r="AE207">
        <v>0</v>
      </c>
      <c r="AF207">
        <v>0</v>
      </c>
      <c r="AG207">
        <v>0</v>
      </c>
      <c r="AH207">
        <v>0</v>
      </c>
      <c r="AI207">
        <v>1</v>
      </c>
      <c r="AJ207" t="s">
        <v>206</v>
      </c>
      <c r="AK207">
        <v>2</v>
      </c>
      <c r="AL207">
        <f t="shared" si="18"/>
        <v>6</v>
      </c>
      <c r="AM207">
        <v>0</v>
      </c>
      <c r="AN207">
        <v>0</v>
      </c>
      <c r="AO207">
        <f t="shared" si="19"/>
        <v>0</v>
      </c>
    </row>
    <row r="208" spans="1:43" x14ac:dyDescent="0.3">
      <c r="A208" t="s">
        <v>455</v>
      </c>
      <c r="B208" s="17">
        <v>46002</v>
      </c>
      <c r="C208" s="6" t="s">
        <v>237</v>
      </c>
      <c r="D208" s="6">
        <v>1</v>
      </c>
      <c r="E208">
        <v>1</v>
      </c>
      <c r="F208">
        <v>2</v>
      </c>
      <c r="G208" t="str">
        <f>A208 &amp; "-" &amp; C208 &amp; "-" &amp; D208 &amp; "-" &amp; E208 &amp; "-" &amp; F208</f>
        <v>ID_210-L-1-1-2</v>
      </c>
      <c r="H208" s="4">
        <v>0.41805555555555557</v>
      </c>
      <c r="I208" s="4">
        <v>0.42499999999999999</v>
      </c>
      <c r="J208" s="25">
        <f t="shared" si="15"/>
        <v>10.033333333333333</v>
      </c>
      <c r="K208" s="5">
        <v>18.2</v>
      </c>
      <c r="L208" s="5">
        <v>18.399999999999999</v>
      </c>
      <c r="M208" s="5">
        <f t="shared" si="16"/>
        <v>18.299999999999997</v>
      </c>
      <c r="N208">
        <v>28.1</v>
      </c>
      <c r="O208">
        <v>33.700000000000003</v>
      </c>
      <c r="P208">
        <v>33.1</v>
      </c>
      <c r="Q208">
        <f t="shared" si="17"/>
        <v>31.633333333333336</v>
      </c>
      <c r="R208" t="s">
        <v>25</v>
      </c>
      <c r="S208" t="s">
        <v>25</v>
      </c>
      <c r="T208">
        <v>5</v>
      </c>
      <c r="U208" t="s">
        <v>26</v>
      </c>
      <c r="V208" t="s">
        <v>31</v>
      </c>
      <c r="W208">
        <v>2</v>
      </c>
      <c r="X208" t="s">
        <v>28</v>
      </c>
      <c r="Y208" t="s">
        <v>28</v>
      </c>
      <c r="Z208">
        <v>1</v>
      </c>
      <c r="AA208">
        <v>0</v>
      </c>
      <c r="AB208">
        <v>1</v>
      </c>
      <c r="AC208">
        <v>1</v>
      </c>
      <c r="AD208">
        <v>1</v>
      </c>
      <c r="AE208">
        <v>0</v>
      </c>
      <c r="AF208">
        <v>0</v>
      </c>
      <c r="AG208">
        <v>1</v>
      </c>
      <c r="AH208">
        <v>1</v>
      </c>
      <c r="AI208">
        <v>1</v>
      </c>
      <c r="AJ208" t="s">
        <v>45</v>
      </c>
      <c r="AK208">
        <v>2</v>
      </c>
      <c r="AL208">
        <f t="shared" si="18"/>
        <v>9</v>
      </c>
      <c r="AM208">
        <v>0</v>
      </c>
      <c r="AN208">
        <v>0</v>
      </c>
      <c r="AO208">
        <f t="shared" si="19"/>
        <v>0</v>
      </c>
    </row>
    <row r="209" spans="1:42" x14ac:dyDescent="0.3">
      <c r="A209" t="s">
        <v>456</v>
      </c>
      <c r="B209" s="17">
        <v>46002</v>
      </c>
      <c r="C209" s="6" t="s">
        <v>237</v>
      </c>
      <c r="D209" s="6">
        <v>1</v>
      </c>
      <c r="E209">
        <v>1</v>
      </c>
      <c r="F209">
        <v>2</v>
      </c>
      <c r="G209" t="str">
        <f>A209 &amp; "-" &amp; C209 &amp; "-" &amp; D209 &amp; "-" &amp; E209 &amp; "-" &amp; F209</f>
        <v>ID_211-L-1-1-2</v>
      </c>
      <c r="H209" s="4">
        <v>0.41805555555555557</v>
      </c>
      <c r="I209" s="4">
        <v>0.42499999999999999</v>
      </c>
      <c r="J209" s="25">
        <f t="shared" si="15"/>
        <v>10.033333333333333</v>
      </c>
      <c r="K209" s="5">
        <v>18.2</v>
      </c>
      <c r="L209" s="5">
        <v>18.399999999999999</v>
      </c>
      <c r="M209" s="5">
        <f t="shared" si="16"/>
        <v>18.299999999999997</v>
      </c>
      <c r="N209">
        <v>28.1</v>
      </c>
      <c r="O209">
        <v>33.700000000000003</v>
      </c>
      <c r="P209">
        <v>33.1</v>
      </c>
      <c r="Q209">
        <f t="shared" si="17"/>
        <v>31.633333333333336</v>
      </c>
      <c r="R209" t="s">
        <v>25</v>
      </c>
      <c r="S209" t="s">
        <v>25</v>
      </c>
      <c r="T209">
        <v>5</v>
      </c>
      <c r="U209" t="s">
        <v>26</v>
      </c>
      <c r="V209" t="s">
        <v>31</v>
      </c>
      <c r="W209">
        <v>2</v>
      </c>
      <c r="X209" t="s">
        <v>28</v>
      </c>
      <c r="Y209" t="s">
        <v>28</v>
      </c>
      <c r="Z209">
        <v>1</v>
      </c>
      <c r="AA209">
        <v>0</v>
      </c>
      <c r="AB209">
        <v>1</v>
      </c>
      <c r="AC209">
        <v>0</v>
      </c>
      <c r="AD209">
        <v>1</v>
      </c>
      <c r="AE209">
        <v>0</v>
      </c>
      <c r="AF209">
        <v>0</v>
      </c>
      <c r="AG209">
        <v>1</v>
      </c>
      <c r="AH209">
        <v>0</v>
      </c>
      <c r="AI209">
        <v>1</v>
      </c>
      <c r="AJ209" t="s">
        <v>34</v>
      </c>
      <c r="AK209">
        <v>1</v>
      </c>
      <c r="AL209">
        <f t="shared" si="18"/>
        <v>6</v>
      </c>
      <c r="AM209">
        <v>0</v>
      </c>
      <c r="AN209">
        <v>0</v>
      </c>
      <c r="AO209">
        <f t="shared" si="19"/>
        <v>0</v>
      </c>
    </row>
    <row r="210" spans="1:42" x14ac:dyDescent="0.3">
      <c r="A210" t="s">
        <v>457</v>
      </c>
      <c r="B210" s="17">
        <v>46002</v>
      </c>
      <c r="C210" s="6" t="s">
        <v>237</v>
      </c>
      <c r="D210" s="6">
        <v>2</v>
      </c>
      <c r="E210">
        <v>1</v>
      </c>
      <c r="F210">
        <v>1</v>
      </c>
      <c r="G210" t="str">
        <f>A210 &amp; "-" &amp; C210 &amp; "-" &amp; D210 &amp; "-" &amp; E210 &amp; "-" &amp; F210</f>
        <v>ID_212-L-2-1-1</v>
      </c>
      <c r="H210" s="4">
        <v>0.43194444444444446</v>
      </c>
      <c r="I210" s="4">
        <v>0.43958333333333333</v>
      </c>
      <c r="J210" s="25">
        <f t="shared" si="15"/>
        <v>10.366666666666667</v>
      </c>
      <c r="K210" s="5">
        <v>18.600000000000001</v>
      </c>
      <c r="L210" s="5">
        <v>19</v>
      </c>
      <c r="M210" s="5">
        <f t="shared" si="16"/>
        <v>18.8</v>
      </c>
      <c r="N210">
        <v>28.1</v>
      </c>
      <c r="O210">
        <v>33.700000000000003</v>
      </c>
      <c r="P210">
        <v>33.1</v>
      </c>
      <c r="Q210">
        <f t="shared" si="17"/>
        <v>31.633333333333336</v>
      </c>
      <c r="R210" t="s">
        <v>25</v>
      </c>
      <c r="S210" t="s">
        <v>25</v>
      </c>
      <c r="T210">
        <v>5</v>
      </c>
      <c r="U210" t="s">
        <v>35</v>
      </c>
      <c r="V210" t="s">
        <v>26</v>
      </c>
      <c r="W210">
        <v>3</v>
      </c>
      <c r="X210" t="s">
        <v>28</v>
      </c>
      <c r="Y210" t="s">
        <v>28</v>
      </c>
      <c r="Z210">
        <v>0</v>
      </c>
      <c r="AA210">
        <v>1</v>
      </c>
      <c r="AB210">
        <v>0</v>
      </c>
      <c r="AC210">
        <v>1</v>
      </c>
      <c r="AD210">
        <v>0</v>
      </c>
      <c r="AE210">
        <v>0</v>
      </c>
      <c r="AF210">
        <v>0</v>
      </c>
      <c r="AG210">
        <v>0</v>
      </c>
      <c r="AH210">
        <v>0</v>
      </c>
      <c r="AI210">
        <v>0</v>
      </c>
      <c r="AJ210" t="s">
        <v>46</v>
      </c>
      <c r="AK210">
        <v>0</v>
      </c>
      <c r="AL210">
        <f t="shared" si="18"/>
        <v>2</v>
      </c>
      <c r="AM210">
        <v>0</v>
      </c>
      <c r="AN210">
        <v>0</v>
      </c>
      <c r="AO210">
        <f t="shared" si="19"/>
        <v>0</v>
      </c>
    </row>
    <row r="211" spans="1:42" x14ac:dyDescent="0.3">
      <c r="A211" t="s">
        <v>458</v>
      </c>
      <c r="B211" s="17">
        <v>46002</v>
      </c>
      <c r="C211" s="6" t="s">
        <v>237</v>
      </c>
      <c r="D211" s="6">
        <v>2</v>
      </c>
      <c r="E211">
        <v>1</v>
      </c>
      <c r="F211">
        <v>1</v>
      </c>
      <c r="G211" t="str">
        <f>A211 &amp; "-" &amp; C211 &amp; "-" &amp; D211 &amp; "-" &amp; E211 &amp; "-" &amp; F211</f>
        <v>ID_213-L-2-1-1</v>
      </c>
      <c r="H211" s="4">
        <v>0.43194444444444446</v>
      </c>
      <c r="I211" s="4">
        <v>0.43888888888888888</v>
      </c>
      <c r="J211" s="25">
        <f t="shared" si="15"/>
        <v>10.366666666666667</v>
      </c>
      <c r="K211" s="5">
        <v>18.600000000000001</v>
      </c>
      <c r="L211" s="5">
        <v>19</v>
      </c>
      <c r="M211" s="5">
        <f t="shared" si="16"/>
        <v>18.8</v>
      </c>
      <c r="N211">
        <v>28.1</v>
      </c>
      <c r="O211">
        <v>33.700000000000003</v>
      </c>
      <c r="P211">
        <v>33.1</v>
      </c>
      <c r="Q211">
        <f t="shared" si="17"/>
        <v>31.633333333333336</v>
      </c>
      <c r="R211" t="s">
        <v>25</v>
      </c>
      <c r="S211" t="s">
        <v>25</v>
      </c>
      <c r="T211">
        <v>5</v>
      </c>
      <c r="U211" t="s">
        <v>35</v>
      </c>
      <c r="V211" t="s">
        <v>26</v>
      </c>
      <c r="W211">
        <v>3</v>
      </c>
      <c r="X211" t="s">
        <v>28</v>
      </c>
      <c r="Y211" t="s">
        <v>28</v>
      </c>
      <c r="Z211">
        <v>0</v>
      </c>
      <c r="AA211">
        <v>0</v>
      </c>
      <c r="AB211">
        <v>1</v>
      </c>
      <c r="AC211">
        <v>0</v>
      </c>
      <c r="AD211">
        <v>0</v>
      </c>
      <c r="AE211">
        <v>0</v>
      </c>
      <c r="AF211">
        <v>0</v>
      </c>
      <c r="AG211">
        <v>0</v>
      </c>
      <c r="AH211">
        <v>0</v>
      </c>
      <c r="AI211">
        <v>0</v>
      </c>
      <c r="AJ211" t="s">
        <v>42</v>
      </c>
      <c r="AK211">
        <v>1</v>
      </c>
      <c r="AL211">
        <f t="shared" si="18"/>
        <v>2</v>
      </c>
      <c r="AM211">
        <v>0</v>
      </c>
      <c r="AN211">
        <v>0</v>
      </c>
      <c r="AO211">
        <f t="shared" si="19"/>
        <v>0</v>
      </c>
    </row>
    <row r="212" spans="1:42" x14ac:dyDescent="0.3">
      <c r="A212" t="s">
        <v>459</v>
      </c>
      <c r="B212" s="17">
        <v>46002</v>
      </c>
      <c r="C212" s="6" t="s">
        <v>237</v>
      </c>
      <c r="D212" s="6">
        <v>2</v>
      </c>
      <c r="E212">
        <v>1</v>
      </c>
      <c r="F212">
        <v>2</v>
      </c>
      <c r="G212" t="str">
        <f>A212 &amp; "-" &amp; C212 &amp; "-" &amp; D212 &amp; "-" &amp; E212 &amp; "-" &amp; F212</f>
        <v>ID_214-L-2-1-2</v>
      </c>
      <c r="H212" s="4">
        <v>0.44027777777777777</v>
      </c>
      <c r="I212" s="4">
        <v>0.44722222222222224</v>
      </c>
      <c r="J212" s="25">
        <f t="shared" si="15"/>
        <v>10.566666666666666</v>
      </c>
      <c r="K212" s="5">
        <v>19</v>
      </c>
      <c r="L212" s="5">
        <v>19.2</v>
      </c>
      <c r="M212" s="5">
        <f t="shared" si="16"/>
        <v>19.100000000000001</v>
      </c>
      <c r="N212">
        <v>28.1</v>
      </c>
      <c r="O212">
        <v>33.700000000000003</v>
      </c>
      <c r="P212">
        <v>33.1</v>
      </c>
      <c r="Q212">
        <f t="shared" si="17"/>
        <v>31.633333333333336</v>
      </c>
      <c r="R212" t="s">
        <v>25</v>
      </c>
      <c r="S212" t="s">
        <v>25</v>
      </c>
      <c r="T212">
        <v>5</v>
      </c>
      <c r="U212" t="s">
        <v>26</v>
      </c>
      <c r="V212" t="s">
        <v>31</v>
      </c>
      <c r="W212">
        <v>2</v>
      </c>
      <c r="X212" t="s">
        <v>28</v>
      </c>
      <c r="Y212" t="s">
        <v>28</v>
      </c>
      <c r="Z212">
        <v>0</v>
      </c>
      <c r="AA212">
        <v>0</v>
      </c>
      <c r="AB212">
        <v>0</v>
      </c>
      <c r="AC212">
        <v>1</v>
      </c>
      <c r="AD212">
        <v>0</v>
      </c>
      <c r="AE212">
        <v>0</v>
      </c>
      <c r="AF212">
        <v>0</v>
      </c>
      <c r="AG212">
        <v>0</v>
      </c>
      <c r="AH212">
        <v>0</v>
      </c>
      <c r="AI212">
        <v>0</v>
      </c>
      <c r="AJ212" t="s">
        <v>43</v>
      </c>
      <c r="AK212">
        <v>1</v>
      </c>
      <c r="AL212">
        <f t="shared" si="18"/>
        <v>2</v>
      </c>
      <c r="AM212">
        <v>0</v>
      </c>
      <c r="AN212">
        <v>0</v>
      </c>
      <c r="AO212">
        <f t="shared" si="19"/>
        <v>0</v>
      </c>
    </row>
    <row r="213" spans="1:42" x14ac:dyDescent="0.3">
      <c r="A213" t="s">
        <v>460</v>
      </c>
      <c r="B213" s="17">
        <v>46002</v>
      </c>
      <c r="C213" s="6" t="s">
        <v>237</v>
      </c>
      <c r="D213" s="6">
        <v>2</v>
      </c>
      <c r="E213">
        <v>1</v>
      </c>
      <c r="F213">
        <v>2</v>
      </c>
      <c r="G213" t="str">
        <f>A213 &amp; "-" &amp; C213 &amp; "-" &amp; D213 &amp; "-" &amp; E213 &amp; "-" &amp; F213</f>
        <v>ID_215-L-2-1-2</v>
      </c>
      <c r="H213" s="4">
        <v>0.44027777777777777</v>
      </c>
      <c r="I213" s="4">
        <v>0.44791666666666669</v>
      </c>
      <c r="J213" s="25">
        <f t="shared" si="15"/>
        <v>10.566666666666666</v>
      </c>
      <c r="K213" s="5">
        <v>19</v>
      </c>
      <c r="L213" s="5">
        <v>19.2</v>
      </c>
      <c r="M213" s="5">
        <f t="shared" si="16"/>
        <v>19.100000000000001</v>
      </c>
      <c r="N213">
        <v>28.1</v>
      </c>
      <c r="O213">
        <v>33.700000000000003</v>
      </c>
      <c r="P213">
        <v>33.1</v>
      </c>
      <c r="Q213">
        <f t="shared" si="17"/>
        <v>31.633333333333336</v>
      </c>
      <c r="R213" t="s">
        <v>25</v>
      </c>
      <c r="S213" t="s">
        <v>25</v>
      </c>
      <c r="T213">
        <v>5</v>
      </c>
      <c r="U213" t="s">
        <v>26</v>
      </c>
      <c r="V213" t="s">
        <v>26</v>
      </c>
      <c r="W213">
        <v>2</v>
      </c>
      <c r="X213" t="s">
        <v>28</v>
      </c>
      <c r="Y213" t="s">
        <v>28</v>
      </c>
      <c r="Z213">
        <v>0</v>
      </c>
      <c r="AA213">
        <v>1</v>
      </c>
      <c r="AB213">
        <v>1</v>
      </c>
      <c r="AC213">
        <v>0</v>
      </c>
      <c r="AD213">
        <v>0</v>
      </c>
      <c r="AE213">
        <v>0</v>
      </c>
      <c r="AF213">
        <v>0</v>
      </c>
      <c r="AG213">
        <v>0</v>
      </c>
      <c r="AH213">
        <v>0</v>
      </c>
      <c r="AI213">
        <v>0</v>
      </c>
      <c r="AJ213" t="s">
        <v>36</v>
      </c>
      <c r="AK213">
        <v>0</v>
      </c>
      <c r="AL213">
        <f t="shared" si="18"/>
        <v>2</v>
      </c>
      <c r="AM213">
        <v>0</v>
      </c>
      <c r="AN213">
        <v>0</v>
      </c>
      <c r="AO213">
        <f t="shared" si="19"/>
        <v>0</v>
      </c>
    </row>
    <row r="214" spans="1:42" x14ac:dyDescent="0.3">
      <c r="A214" t="s">
        <v>461</v>
      </c>
      <c r="B214" s="17">
        <v>46002</v>
      </c>
      <c r="C214" s="6" t="s">
        <v>237</v>
      </c>
      <c r="D214" s="6">
        <v>2</v>
      </c>
      <c r="E214">
        <v>1</v>
      </c>
      <c r="F214">
        <v>2</v>
      </c>
      <c r="G214" t="str">
        <f>A214 &amp; "-" &amp; C214 &amp; "-" &amp; D214 &amp; "-" &amp; E214 &amp; "-" &amp; F214</f>
        <v>ID_216-L-2-1-2</v>
      </c>
      <c r="H214" s="4">
        <v>0.45208333333333334</v>
      </c>
      <c r="I214" s="4">
        <v>0.4597222222222222</v>
      </c>
      <c r="J214" s="25">
        <f t="shared" si="15"/>
        <v>10.85</v>
      </c>
      <c r="K214" s="5">
        <v>19.2</v>
      </c>
      <c r="L214" s="5">
        <v>19.5</v>
      </c>
      <c r="M214" s="5">
        <f t="shared" si="16"/>
        <v>19.350000000000001</v>
      </c>
      <c r="N214">
        <v>28.1</v>
      </c>
      <c r="O214">
        <v>33.700000000000003</v>
      </c>
      <c r="P214">
        <v>33.1</v>
      </c>
      <c r="Q214">
        <f t="shared" si="17"/>
        <v>31.633333333333336</v>
      </c>
      <c r="R214" t="s">
        <v>25</v>
      </c>
      <c r="S214" t="s">
        <v>25</v>
      </c>
      <c r="T214">
        <v>5</v>
      </c>
      <c r="U214" t="s">
        <v>26</v>
      </c>
      <c r="V214" t="s">
        <v>37</v>
      </c>
      <c r="W214">
        <v>2</v>
      </c>
      <c r="X214" t="s">
        <v>28</v>
      </c>
      <c r="Y214" t="s">
        <v>28</v>
      </c>
      <c r="Z214">
        <v>1</v>
      </c>
      <c r="AA214">
        <v>0</v>
      </c>
      <c r="AB214">
        <v>1</v>
      </c>
      <c r="AC214">
        <v>1</v>
      </c>
      <c r="AD214">
        <v>0</v>
      </c>
      <c r="AE214">
        <v>0</v>
      </c>
      <c r="AF214">
        <v>0</v>
      </c>
      <c r="AG214">
        <v>0</v>
      </c>
      <c r="AH214">
        <v>0</v>
      </c>
      <c r="AI214">
        <v>1</v>
      </c>
      <c r="AJ214" t="s">
        <v>36</v>
      </c>
      <c r="AK214">
        <v>0</v>
      </c>
      <c r="AL214">
        <f t="shared" si="18"/>
        <v>4</v>
      </c>
      <c r="AM214">
        <v>0</v>
      </c>
      <c r="AN214">
        <v>0</v>
      </c>
      <c r="AO214">
        <f t="shared" si="19"/>
        <v>0</v>
      </c>
    </row>
    <row r="215" spans="1:42" x14ac:dyDescent="0.3">
      <c r="A215" t="s">
        <v>462</v>
      </c>
      <c r="B215" s="17">
        <v>46002</v>
      </c>
      <c r="C215" s="6" t="s">
        <v>237</v>
      </c>
      <c r="D215" s="6">
        <v>2</v>
      </c>
      <c r="E215">
        <v>1</v>
      </c>
      <c r="F215">
        <v>3</v>
      </c>
      <c r="G215" t="str">
        <f>A215 &amp; "-" &amp; C215 &amp; "-" &amp; D215 &amp; "-" &amp; E215 &amp; "-" &amp; F215</f>
        <v>ID_217-L-2-1-3</v>
      </c>
      <c r="H215" s="4">
        <v>0.45208333333333334</v>
      </c>
      <c r="I215" s="4">
        <v>0.46041666666666664</v>
      </c>
      <c r="J215" s="25">
        <f t="shared" si="15"/>
        <v>10.85</v>
      </c>
      <c r="K215" s="5">
        <v>19.2</v>
      </c>
      <c r="L215" s="5">
        <v>19.5</v>
      </c>
      <c r="M215" s="5">
        <f t="shared" si="16"/>
        <v>19.350000000000001</v>
      </c>
      <c r="N215">
        <v>28.1</v>
      </c>
      <c r="O215">
        <v>33.700000000000003</v>
      </c>
      <c r="P215">
        <v>33.1</v>
      </c>
      <c r="Q215">
        <f t="shared" si="17"/>
        <v>31.633333333333336</v>
      </c>
      <c r="R215" t="s">
        <v>25</v>
      </c>
      <c r="S215" t="s">
        <v>25</v>
      </c>
      <c r="T215">
        <v>5</v>
      </c>
      <c r="U215" t="s">
        <v>26</v>
      </c>
      <c r="V215" t="s">
        <v>37</v>
      </c>
      <c r="W215">
        <v>2</v>
      </c>
      <c r="X215" t="s">
        <v>28</v>
      </c>
      <c r="Y215" t="s">
        <v>28</v>
      </c>
      <c r="Z215">
        <v>0</v>
      </c>
      <c r="AA215">
        <v>0</v>
      </c>
      <c r="AB215">
        <v>1</v>
      </c>
      <c r="AC215">
        <v>0</v>
      </c>
      <c r="AD215">
        <v>0</v>
      </c>
      <c r="AE215">
        <v>0</v>
      </c>
      <c r="AF215">
        <v>0</v>
      </c>
      <c r="AG215">
        <v>0</v>
      </c>
      <c r="AH215">
        <v>0</v>
      </c>
      <c r="AI215">
        <v>0</v>
      </c>
      <c r="AJ215" t="s">
        <v>44</v>
      </c>
      <c r="AK215">
        <v>1</v>
      </c>
      <c r="AL215">
        <f t="shared" si="18"/>
        <v>2</v>
      </c>
      <c r="AM215">
        <v>0</v>
      </c>
      <c r="AN215">
        <v>0</v>
      </c>
      <c r="AO215">
        <f t="shared" si="19"/>
        <v>0</v>
      </c>
      <c r="AP215" t="s">
        <v>230</v>
      </c>
    </row>
    <row r="216" spans="1:42" x14ac:dyDescent="0.3">
      <c r="A216" t="s">
        <v>463</v>
      </c>
      <c r="B216" s="17">
        <v>46002</v>
      </c>
      <c r="C216" s="6" t="s">
        <v>237</v>
      </c>
      <c r="D216" s="6">
        <v>3</v>
      </c>
      <c r="E216">
        <v>1</v>
      </c>
      <c r="F216">
        <v>1</v>
      </c>
      <c r="G216" t="str">
        <f>A216 &amp; "-" &amp; C216 &amp; "-" &amp; D216 &amp; "-" &amp; E216 &amp; "-" &amp; F216</f>
        <v>ID_218-L-3-1-1</v>
      </c>
      <c r="H216" s="4">
        <v>0.48194444444444445</v>
      </c>
      <c r="I216" s="4">
        <v>0.48888888888888887</v>
      </c>
      <c r="J216" s="25">
        <f t="shared" si="15"/>
        <v>11.566666666666666</v>
      </c>
      <c r="K216" s="5">
        <v>20.399999999999999</v>
      </c>
      <c r="L216" s="5">
        <v>20.7</v>
      </c>
      <c r="M216" s="5">
        <f t="shared" si="16"/>
        <v>20.549999999999997</v>
      </c>
      <c r="N216">
        <v>28.1</v>
      </c>
      <c r="O216">
        <v>33.700000000000003</v>
      </c>
      <c r="P216">
        <v>33.1</v>
      </c>
      <c r="Q216">
        <f>(N216+O216+P216)/3</f>
        <v>31.633333333333336</v>
      </c>
      <c r="R216" t="s">
        <v>25</v>
      </c>
      <c r="S216" t="s">
        <v>25</v>
      </c>
      <c r="T216">
        <v>5</v>
      </c>
      <c r="U216" t="s">
        <v>35</v>
      </c>
      <c r="V216" t="s">
        <v>35</v>
      </c>
      <c r="W216">
        <v>3</v>
      </c>
      <c r="X216" t="s">
        <v>28</v>
      </c>
      <c r="Y216" t="s">
        <v>28</v>
      </c>
      <c r="Z216">
        <v>1</v>
      </c>
      <c r="AA216">
        <v>0</v>
      </c>
      <c r="AB216">
        <v>0</v>
      </c>
      <c r="AC216">
        <v>1</v>
      </c>
      <c r="AD216">
        <v>1</v>
      </c>
      <c r="AE216">
        <v>0</v>
      </c>
      <c r="AF216">
        <v>0</v>
      </c>
      <c r="AG216">
        <v>0</v>
      </c>
      <c r="AH216">
        <v>0</v>
      </c>
      <c r="AI216">
        <v>0</v>
      </c>
      <c r="AJ216" t="s">
        <v>38</v>
      </c>
      <c r="AK216">
        <v>1</v>
      </c>
      <c r="AL216">
        <f t="shared" si="18"/>
        <v>4</v>
      </c>
      <c r="AM216">
        <v>0</v>
      </c>
      <c r="AN216">
        <v>0</v>
      </c>
      <c r="AO216">
        <f t="shared" si="19"/>
        <v>0</v>
      </c>
      <c r="AP216" t="s">
        <v>40</v>
      </c>
    </row>
    <row r="217" spans="1:42" x14ac:dyDescent="0.3">
      <c r="A217" t="s">
        <v>464</v>
      </c>
      <c r="B217" s="17">
        <v>46004</v>
      </c>
      <c r="C217" s="6" t="s">
        <v>238</v>
      </c>
      <c r="D217" s="6" t="s">
        <v>244</v>
      </c>
      <c r="E217">
        <v>1</v>
      </c>
      <c r="F217">
        <v>1</v>
      </c>
      <c r="G217" t="str">
        <f>A217 &amp; "-" &amp; C217 &amp; "-" &amp; D217 &amp; "-" &amp; E217 &amp; "-" &amp; F217</f>
        <v>ID_219-M-10-1-1</v>
      </c>
      <c r="H217" s="4">
        <v>0.41875000000000001</v>
      </c>
      <c r="I217" s="4">
        <v>0.46736111111111112</v>
      </c>
      <c r="J217" s="25">
        <f t="shared" si="15"/>
        <v>10.050000000000001</v>
      </c>
      <c r="K217" s="5">
        <v>22.9</v>
      </c>
      <c r="L217" s="5">
        <v>23</v>
      </c>
      <c r="M217" s="5">
        <f t="shared" si="16"/>
        <v>22.95</v>
      </c>
      <c r="N217">
        <v>33.1</v>
      </c>
      <c r="O217">
        <v>23.9</v>
      </c>
      <c r="P217">
        <v>23.6</v>
      </c>
      <c r="Q217">
        <f t="shared" ref="Q217:Q271" si="20">(N217+O217+P217)/3</f>
        <v>26.866666666666664</v>
      </c>
      <c r="R217" t="s">
        <v>25</v>
      </c>
      <c r="T217">
        <v>5</v>
      </c>
      <c r="U217" t="s">
        <v>37</v>
      </c>
      <c r="W217">
        <v>1</v>
      </c>
      <c r="X217" t="s">
        <v>28</v>
      </c>
      <c r="Y217" t="s">
        <v>28</v>
      </c>
      <c r="Z217">
        <v>0</v>
      </c>
      <c r="AA217">
        <v>0</v>
      </c>
      <c r="AB217">
        <v>0</v>
      </c>
      <c r="AC217">
        <v>0</v>
      </c>
      <c r="AD217">
        <v>1</v>
      </c>
      <c r="AE217">
        <v>0</v>
      </c>
      <c r="AF217">
        <v>0</v>
      </c>
      <c r="AG217">
        <v>1</v>
      </c>
      <c r="AH217">
        <v>0</v>
      </c>
      <c r="AI217">
        <v>1</v>
      </c>
      <c r="AJ217" t="s">
        <v>36</v>
      </c>
      <c r="AK217">
        <v>0</v>
      </c>
      <c r="AL217">
        <f t="shared" si="18"/>
        <v>3</v>
      </c>
      <c r="AM217">
        <v>0</v>
      </c>
      <c r="AN217">
        <v>0</v>
      </c>
      <c r="AO217">
        <f t="shared" si="19"/>
        <v>0</v>
      </c>
      <c r="AP217" t="s">
        <v>49</v>
      </c>
    </row>
    <row r="218" spans="1:42" x14ac:dyDescent="0.3">
      <c r="A218" t="s">
        <v>465</v>
      </c>
      <c r="B218" s="17">
        <v>46004</v>
      </c>
      <c r="C218" s="6" t="s">
        <v>238</v>
      </c>
      <c r="D218" s="6">
        <v>1</v>
      </c>
      <c r="E218">
        <v>1</v>
      </c>
      <c r="F218">
        <v>1</v>
      </c>
      <c r="G218" t="str">
        <f>A218 &amp; "-" &amp; C218 &amp; "-" &amp; D218 &amp; "-" &amp; E218 &amp; "-" &amp; F218</f>
        <v>ID_220-M-1-1-1</v>
      </c>
      <c r="H218" s="4">
        <v>0.48819444444444443</v>
      </c>
      <c r="I218" s="4">
        <v>0.49513888888888891</v>
      </c>
      <c r="J218" s="25">
        <f t="shared" si="15"/>
        <v>11.716666666666667</v>
      </c>
      <c r="K218" s="5">
        <v>22.5</v>
      </c>
      <c r="L218" s="5">
        <v>22.4</v>
      </c>
      <c r="M218" s="5">
        <f t="shared" si="16"/>
        <v>22.45</v>
      </c>
      <c r="N218">
        <v>33.1</v>
      </c>
      <c r="O218">
        <v>23.9</v>
      </c>
      <c r="P218">
        <v>23.6</v>
      </c>
      <c r="Q218">
        <f t="shared" si="20"/>
        <v>26.866666666666664</v>
      </c>
      <c r="R218" t="s">
        <v>25</v>
      </c>
      <c r="S218" t="s">
        <v>25</v>
      </c>
      <c r="T218">
        <v>5</v>
      </c>
      <c r="U218" t="s">
        <v>47</v>
      </c>
      <c r="V218" t="s">
        <v>37</v>
      </c>
      <c r="W218">
        <v>0</v>
      </c>
      <c r="X218" t="s">
        <v>28</v>
      </c>
      <c r="Y218" t="s">
        <v>28</v>
      </c>
      <c r="Z218">
        <v>0</v>
      </c>
      <c r="AA218">
        <v>0</v>
      </c>
      <c r="AB218">
        <v>0</v>
      </c>
      <c r="AC218">
        <v>0</v>
      </c>
      <c r="AD218">
        <v>0</v>
      </c>
      <c r="AE218">
        <v>0</v>
      </c>
      <c r="AF218">
        <v>0</v>
      </c>
      <c r="AG218">
        <v>1</v>
      </c>
      <c r="AH218">
        <v>0</v>
      </c>
      <c r="AI218">
        <v>0</v>
      </c>
      <c r="AJ218" t="s">
        <v>36</v>
      </c>
      <c r="AK218">
        <v>0</v>
      </c>
      <c r="AL218">
        <f t="shared" si="18"/>
        <v>1</v>
      </c>
      <c r="AM218">
        <v>0</v>
      </c>
      <c r="AN218">
        <v>0</v>
      </c>
      <c r="AO218">
        <f t="shared" si="19"/>
        <v>0</v>
      </c>
      <c r="AP218" t="s">
        <v>48</v>
      </c>
    </row>
    <row r="219" spans="1:42" x14ac:dyDescent="0.3">
      <c r="A219" t="s">
        <v>466</v>
      </c>
      <c r="B219" s="17">
        <v>46004</v>
      </c>
      <c r="C219" s="6" t="s">
        <v>238</v>
      </c>
      <c r="D219" s="6">
        <v>2</v>
      </c>
      <c r="E219">
        <v>1</v>
      </c>
      <c r="F219">
        <v>1</v>
      </c>
      <c r="G219" t="str">
        <f>A219 &amp; "-" &amp; C219 &amp; "-" &amp; D219 &amp; "-" &amp; E219 &amp; "-" &amp; F219</f>
        <v>ID_221-M-2-1-1</v>
      </c>
      <c r="H219" s="4">
        <v>0.41875000000000001</v>
      </c>
      <c r="I219" s="4">
        <v>0.42569444444444443</v>
      </c>
      <c r="J219" s="25">
        <f t="shared" si="15"/>
        <v>10.050000000000001</v>
      </c>
      <c r="K219" s="5">
        <v>22</v>
      </c>
      <c r="L219" s="5">
        <v>21.5</v>
      </c>
      <c r="M219" s="5">
        <f t="shared" si="16"/>
        <v>21.75</v>
      </c>
      <c r="N219">
        <v>33.1</v>
      </c>
      <c r="O219">
        <v>23.9</v>
      </c>
      <c r="P219">
        <v>23.6</v>
      </c>
      <c r="Q219">
        <f t="shared" si="20"/>
        <v>26.866666666666664</v>
      </c>
      <c r="R219" t="s">
        <v>27</v>
      </c>
      <c r="T219">
        <v>4</v>
      </c>
      <c r="U219" t="s">
        <v>26</v>
      </c>
      <c r="W219">
        <v>2</v>
      </c>
      <c r="X219" t="s">
        <v>28</v>
      </c>
      <c r="Y219" t="s">
        <v>28</v>
      </c>
      <c r="Z219">
        <v>1</v>
      </c>
      <c r="AA219">
        <v>0</v>
      </c>
      <c r="AB219">
        <v>0</v>
      </c>
      <c r="AC219">
        <v>1</v>
      </c>
      <c r="AD219">
        <v>1</v>
      </c>
      <c r="AE219">
        <v>0</v>
      </c>
      <c r="AF219">
        <v>0</v>
      </c>
      <c r="AG219">
        <v>1</v>
      </c>
      <c r="AH219">
        <v>1</v>
      </c>
      <c r="AI219">
        <v>1</v>
      </c>
      <c r="AJ219" t="s">
        <v>211</v>
      </c>
      <c r="AK219">
        <v>1</v>
      </c>
      <c r="AL219">
        <f t="shared" si="18"/>
        <v>7</v>
      </c>
      <c r="AM219">
        <v>0</v>
      </c>
      <c r="AN219">
        <v>0</v>
      </c>
      <c r="AO219">
        <f t="shared" si="19"/>
        <v>0</v>
      </c>
    </row>
    <row r="220" spans="1:42" x14ac:dyDescent="0.3">
      <c r="A220" t="s">
        <v>467</v>
      </c>
      <c r="B220" s="17">
        <v>46004</v>
      </c>
      <c r="C220" s="6" t="s">
        <v>238</v>
      </c>
      <c r="D220" s="6">
        <v>3</v>
      </c>
      <c r="E220">
        <v>1</v>
      </c>
      <c r="F220">
        <v>1</v>
      </c>
      <c r="G220" t="str">
        <f>A220 &amp; "-" &amp; C220 &amp; "-" &amp; D220 &amp; "-" &amp; E220 &amp; "-" &amp; F220</f>
        <v>ID_222-M-3-1-1</v>
      </c>
      <c r="H220" s="4">
        <v>0.43611111111111112</v>
      </c>
      <c r="I220" s="4">
        <v>0.44305555555555554</v>
      </c>
      <c r="J220" s="25">
        <f t="shared" si="15"/>
        <v>10.466666666666667</v>
      </c>
      <c r="K220" s="5">
        <v>22.1</v>
      </c>
      <c r="L220" s="5">
        <v>22.5</v>
      </c>
      <c r="M220" s="5">
        <f t="shared" si="16"/>
        <v>22.3</v>
      </c>
      <c r="N220">
        <v>33.1</v>
      </c>
      <c r="O220">
        <v>23.9</v>
      </c>
      <c r="P220">
        <v>23.6</v>
      </c>
      <c r="Q220">
        <f t="shared" si="20"/>
        <v>26.866666666666664</v>
      </c>
      <c r="R220" t="s">
        <v>25</v>
      </c>
      <c r="T220">
        <v>5</v>
      </c>
      <c r="U220" t="s">
        <v>37</v>
      </c>
      <c r="W220">
        <v>1</v>
      </c>
      <c r="X220" t="s">
        <v>28</v>
      </c>
      <c r="Y220" t="s">
        <v>28</v>
      </c>
      <c r="Z220">
        <v>1</v>
      </c>
      <c r="AA220">
        <v>0</v>
      </c>
      <c r="AB220">
        <v>0</v>
      </c>
      <c r="AC220">
        <v>1</v>
      </c>
      <c r="AD220">
        <v>0</v>
      </c>
      <c r="AE220">
        <v>0</v>
      </c>
      <c r="AF220">
        <v>0</v>
      </c>
      <c r="AG220">
        <v>1</v>
      </c>
      <c r="AH220">
        <v>0</v>
      </c>
      <c r="AI220">
        <v>1</v>
      </c>
      <c r="AJ220" t="s">
        <v>36</v>
      </c>
      <c r="AK220">
        <v>0</v>
      </c>
      <c r="AL220">
        <f t="shared" si="18"/>
        <v>4</v>
      </c>
      <c r="AM220">
        <v>0</v>
      </c>
      <c r="AN220">
        <v>0</v>
      </c>
      <c r="AO220">
        <f t="shared" si="19"/>
        <v>0</v>
      </c>
    </row>
    <row r="221" spans="1:42" x14ac:dyDescent="0.3">
      <c r="A221" t="s">
        <v>468</v>
      </c>
      <c r="B221" s="17">
        <v>46005</v>
      </c>
      <c r="C221" s="6" t="s">
        <v>236</v>
      </c>
      <c r="D221" s="6">
        <v>1</v>
      </c>
      <c r="E221">
        <v>1</v>
      </c>
      <c r="F221">
        <v>1</v>
      </c>
      <c r="G221" t="str">
        <f>A221 &amp; "-" &amp; C221 &amp; "-" &amp; D221 &amp; "-" &amp; E221 &amp; "-" &amp; F221</f>
        <v>ID_223-G-1-1-1</v>
      </c>
      <c r="H221" s="4">
        <v>0.41805555555555557</v>
      </c>
      <c r="I221" s="4">
        <v>0.42499999999999999</v>
      </c>
      <c r="J221" s="25">
        <f t="shared" si="15"/>
        <v>10.033333333333333</v>
      </c>
      <c r="K221" s="5">
        <v>19.7</v>
      </c>
      <c r="L221" s="5">
        <v>20.9</v>
      </c>
      <c r="M221" s="5">
        <f t="shared" si="16"/>
        <v>20.299999999999997</v>
      </c>
      <c r="N221">
        <v>23.9</v>
      </c>
      <c r="O221">
        <v>23.6</v>
      </c>
      <c r="P221">
        <v>23.3</v>
      </c>
      <c r="Q221">
        <f t="shared" si="20"/>
        <v>23.599999999999998</v>
      </c>
      <c r="R221" t="s">
        <v>27</v>
      </c>
      <c r="S221" t="s">
        <v>27</v>
      </c>
      <c r="T221">
        <v>4</v>
      </c>
      <c r="U221" t="s">
        <v>26</v>
      </c>
      <c r="V221" t="s">
        <v>26</v>
      </c>
      <c r="W221">
        <v>2</v>
      </c>
      <c r="X221" t="s">
        <v>28</v>
      </c>
      <c r="Y221" t="s">
        <v>28</v>
      </c>
      <c r="Z221">
        <v>1</v>
      </c>
      <c r="AA221">
        <v>0</v>
      </c>
      <c r="AB221">
        <v>1</v>
      </c>
      <c r="AC221">
        <v>1</v>
      </c>
      <c r="AD221">
        <v>1</v>
      </c>
      <c r="AE221">
        <v>0</v>
      </c>
      <c r="AF221">
        <v>0</v>
      </c>
      <c r="AG221">
        <v>1</v>
      </c>
      <c r="AH221">
        <v>0</v>
      </c>
      <c r="AI221">
        <v>0</v>
      </c>
      <c r="AJ221" t="s">
        <v>29</v>
      </c>
      <c r="AK221">
        <v>1</v>
      </c>
      <c r="AL221">
        <f t="shared" si="18"/>
        <v>6</v>
      </c>
      <c r="AM221">
        <v>0</v>
      </c>
      <c r="AN221">
        <v>0</v>
      </c>
      <c r="AO221">
        <f t="shared" si="19"/>
        <v>0</v>
      </c>
    </row>
    <row r="222" spans="1:42" x14ac:dyDescent="0.3">
      <c r="A222" t="s">
        <v>469</v>
      </c>
      <c r="B222" s="17">
        <v>46005</v>
      </c>
      <c r="C222" s="6" t="s">
        <v>236</v>
      </c>
      <c r="D222" s="6">
        <v>1</v>
      </c>
      <c r="E222">
        <v>1</v>
      </c>
      <c r="F222">
        <v>2</v>
      </c>
      <c r="G222" t="str">
        <f>A222 &amp; "-" &amp; C222 &amp; "-" &amp; D222 &amp; "-" &amp; E222 &amp; "-" &amp; F222</f>
        <v>ID_224-G-1-1-2</v>
      </c>
      <c r="H222" s="4">
        <v>0.4284722222222222</v>
      </c>
      <c r="I222" s="4">
        <v>0.43611111111111112</v>
      </c>
      <c r="J222" s="25">
        <f t="shared" si="15"/>
        <v>10.283333333333333</v>
      </c>
      <c r="K222" s="5">
        <v>20.9</v>
      </c>
      <c r="L222" s="5">
        <v>21.8</v>
      </c>
      <c r="M222" s="5">
        <f t="shared" si="16"/>
        <v>21.35</v>
      </c>
      <c r="N222">
        <v>23.9</v>
      </c>
      <c r="O222">
        <v>23.6</v>
      </c>
      <c r="P222">
        <v>23.3</v>
      </c>
      <c r="Q222">
        <f t="shared" si="20"/>
        <v>23.599999999999998</v>
      </c>
      <c r="R222" t="s">
        <v>30</v>
      </c>
      <c r="S222" t="s">
        <v>30</v>
      </c>
      <c r="T222">
        <v>3</v>
      </c>
      <c r="U222" t="s">
        <v>26</v>
      </c>
      <c r="V222" t="s">
        <v>31</v>
      </c>
      <c r="W222">
        <v>2</v>
      </c>
      <c r="X222" t="s">
        <v>28</v>
      </c>
      <c r="Y222" t="s">
        <v>28</v>
      </c>
      <c r="Z222">
        <v>0</v>
      </c>
      <c r="AA222">
        <v>0</v>
      </c>
      <c r="AB222">
        <v>0</v>
      </c>
      <c r="AC222">
        <v>1</v>
      </c>
      <c r="AD222">
        <v>1</v>
      </c>
      <c r="AE222">
        <v>0</v>
      </c>
      <c r="AF222">
        <v>0</v>
      </c>
      <c r="AG222">
        <v>1</v>
      </c>
      <c r="AH222">
        <v>0</v>
      </c>
      <c r="AI222">
        <v>1</v>
      </c>
      <c r="AJ222" t="s">
        <v>59</v>
      </c>
      <c r="AK222">
        <v>1</v>
      </c>
      <c r="AL222">
        <f t="shared" si="18"/>
        <v>5</v>
      </c>
      <c r="AM222">
        <v>0</v>
      </c>
      <c r="AN222">
        <v>0</v>
      </c>
      <c r="AO222">
        <f t="shared" si="19"/>
        <v>0</v>
      </c>
    </row>
    <row r="223" spans="1:42" x14ac:dyDescent="0.3">
      <c r="A223" t="s">
        <v>470</v>
      </c>
      <c r="B223" s="17">
        <v>46005</v>
      </c>
      <c r="C223" s="6" t="s">
        <v>236</v>
      </c>
      <c r="D223" s="6" t="s">
        <v>242</v>
      </c>
      <c r="E223">
        <v>1</v>
      </c>
      <c r="F223">
        <v>2</v>
      </c>
      <c r="G223" t="str">
        <f>A223 &amp; "-" &amp; C223 &amp; "-" &amp; D223 &amp; "-" &amp; E223 &amp; "-" &amp; F223</f>
        <v>ID_225-G-12-1-2</v>
      </c>
      <c r="H223" s="4">
        <v>0.48055555555555557</v>
      </c>
      <c r="I223" s="4">
        <v>0.48888888888888887</v>
      </c>
      <c r="J223" s="25">
        <f t="shared" si="15"/>
        <v>11.533333333333333</v>
      </c>
      <c r="K223" s="5">
        <v>21.5</v>
      </c>
      <c r="L223" s="5">
        <v>21.7</v>
      </c>
      <c r="M223" s="5">
        <f t="shared" si="16"/>
        <v>21.6</v>
      </c>
      <c r="N223">
        <v>23.9</v>
      </c>
      <c r="O223">
        <v>23.6</v>
      </c>
      <c r="P223">
        <v>23.3</v>
      </c>
      <c r="Q223">
        <f t="shared" si="20"/>
        <v>23.599999999999998</v>
      </c>
      <c r="R223" t="s">
        <v>25</v>
      </c>
      <c r="S223" t="s">
        <v>25</v>
      </c>
      <c r="T223">
        <v>5</v>
      </c>
      <c r="U223" t="s">
        <v>26</v>
      </c>
      <c r="V223" t="s">
        <v>26</v>
      </c>
      <c r="W223">
        <v>2</v>
      </c>
      <c r="X223" t="s">
        <v>28</v>
      </c>
      <c r="Y223" t="s">
        <v>28</v>
      </c>
      <c r="Z223">
        <v>0</v>
      </c>
      <c r="AA223">
        <v>0</v>
      </c>
      <c r="AB223">
        <v>1</v>
      </c>
      <c r="AC223">
        <v>0</v>
      </c>
      <c r="AD223">
        <v>1</v>
      </c>
      <c r="AE223">
        <v>0</v>
      </c>
      <c r="AF223">
        <v>0</v>
      </c>
      <c r="AG223">
        <v>1</v>
      </c>
      <c r="AH223">
        <v>0</v>
      </c>
      <c r="AI223">
        <v>0</v>
      </c>
      <c r="AJ223" t="s">
        <v>36</v>
      </c>
      <c r="AK223">
        <v>0</v>
      </c>
      <c r="AL223">
        <f t="shared" si="18"/>
        <v>3</v>
      </c>
      <c r="AM223">
        <v>0</v>
      </c>
      <c r="AN223">
        <v>0</v>
      </c>
      <c r="AO223">
        <f t="shared" si="19"/>
        <v>0</v>
      </c>
    </row>
    <row r="224" spans="1:42" x14ac:dyDescent="0.3">
      <c r="A224" t="s">
        <v>471</v>
      </c>
      <c r="B224" s="17">
        <v>46005</v>
      </c>
      <c r="C224" s="6" t="s">
        <v>236</v>
      </c>
      <c r="D224" s="6">
        <v>1</v>
      </c>
      <c r="E224">
        <v>3</v>
      </c>
      <c r="F224">
        <v>1</v>
      </c>
      <c r="G224" t="str">
        <f>A224 &amp; "-" &amp; C224 &amp; "-" &amp; D224 &amp; "-" &amp; E224 &amp; "-" &amp; F224</f>
        <v>ID_226-G-1-3-1</v>
      </c>
      <c r="H224" s="4">
        <v>0.43888888888888888</v>
      </c>
      <c r="I224" s="4">
        <v>0.44583333333333336</v>
      </c>
      <c r="J224" s="25">
        <f t="shared" si="15"/>
        <v>10.533333333333333</v>
      </c>
      <c r="K224" s="5">
        <v>21.8</v>
      </c>
      <c r="L224" s="5">
        <v>23.4</v>
      </c>
      <c r="M224" s="5">
        <f t="shared" si="16"/>
        <v>22.6</v>
      </c>
      <c r="N224">
        <v>23.9</v>
      </c>
      <c r="O224">
        <v>23.6</v>
      </c>
      <c r="P224">
        <v>23.3</v>
      </c>
      <c r="Q224">
        <f t="shared" si="20"/>
        <v>23.599999999999998</v>
      </c>
      <c r="R224" t="s">
        <v>32</v>
      </c>
      <c r="S224" t="s">
        <v>30</v>
      </c>
      <c r="T224">
        <v>2</v>
      </c>
      <c r="U224" t="s">
        <v>33</v>
      </c>
      <c r="V224" t="s">
        <v>33</v>
      </c>
      <c r="W224">
        <v>6</v>
      </c>
      <c r="X224" t="s">
        <v>28</v>
      </c>
      <c r="Y224" t="s">
        <v>28</v>
      </c>
      <c r="Z224">
        <v>0</v>
      </c>
      <c r="AA224">
        <v>0</v>
      </c>
      <c r="AB224">
        <v>0</v>
      </c>
      <c r="AC224">
        <v>0</v>
      </c>
      <c r="AD224">
        <v>0</v>
      </c>
      <c r="AE224">
        <v>0</v>
      </c>
      <c r="AF224">
        <v>0</v>
      </c>
      <c r="AG224">
        <v>1</v>
      </c>
      <c r="AH224">
        <v>0</v>
      </c>
      <c r="AI224">
        <v>1</v>
      </c>
      <c r="AJ224" t="s">
        <v>34</v>
      </c>
      <c r="AK224">
        <v>1</v>
      </c>
      <c r="AL224">
        <f t="shared" si="18"/>
        <v>3</v>
      </c>
      <c r="AM224">
        <v>0</v>
      </c>
      <c r="AN224">
        <v>0</v>
      </c>
      <c r="AO224">
        <f t="shared" si="19"/>
        <v>0</v>
      </c>
    </row>
    <row r="225" spans="1:42" x14ac:dyDescent="0.3">
      <c r="A225" t="s">
        <v>472</v>
      </c>
      <c r="B225" s="17">
        <v>46005</v>
      </c>
      <c r="C225" s="6" t="s">
        <v>236</v>
      </c>
      <c r="D225" s="6">
        <v>2</v>
      </c>
      <c r="E225">
        <v>1</v>
      </c>
      <c r="F225">
        <v>1</v>
      </c>
      <c r="G225" t="str">
        <f>A225 &amp; "-" &amp; C225 &amp; "-" &amp; D225 &amp; "-" &amp; E225 &amp; "-" &amp; F225</f>
        <v>ID_227-G-2-1-1</v>
      </c>
      <c r="H225" s="4">
        <v>0.45277777777777778</v>
      </c>
      <c r="I225" s="4">
        <v>0.4597222222222222</v>
      </c>
      <c r="J225" s="25">
        <f t="shared" si="15"/>
        <v>10.866666666666667</v>
      </c>
      <c r="K225" s="5">
        <v>21.9</v>
      </c>
      <c r="L225" s="5">
        <v>22.4</v>
      </c>
      <c r="M225" s="5">
        <f t="shared" si="16"/>
        <v>22.15</v>
      </c>
      <c r="N225">
        <v>23.9</v>
      </c>
      <c r="O225">
        <v>23.6</v>
      </c>
      <c r="P225">
        <v>23.3</v>
      </c>
      <c r="Q225">
        <f t="shared" si="20"/>
        <v>23.599999999999998</v>
      </c>
      <c r="R225" t="s">
        <v>27</v>
      </c>
      <c r="S225" t="s">
        <v>25</v>
      </c>
      <c r="T225">
        <v>4</v>
      </c>
      <c r="U225" t="s">
        <v>31</v>
      </c>
      <c r="V225" t="s">
        <v>35</v>
      </c>
      <c r="W225">
        <v>4</v>
      </c>
      <c r="X225" t="s">
        <v>28</v>
      </c>
      <c r="Y225" t="s">
        <v>28</v>
      </c>
      <c r="Z225">
        <v>1</v>
      </c>
      <c r="AA225">
        <v>0</v>
      </c>
      <c r="AB225">
        <v>0</v>
      </c>
      <c r="AC225">
        <v>1</v>
      </c>
      <c r="AD225">
        <v>0</v>
      </c>
      <c r="AE225">
        <v>0</v>
      </c>
      <c r="AF225">
        <v>0</v>
      </c>
      <c r="AG225">
        <v>1</v>
      </c>
      <c r="AH225">
        <v>0</v>
      </c>
      <c r="AI225">
        <v>1</v>
      </c>
      <c r="AJ225" t="s">
        <v>36</v>
      </c>
      <c r="AK225">
        <v>0</v>
      </c>
      <c r="AL225">
        <f t="shared" si="18"/>
        <v>4</v>
      </c>
      <c r="AM225">
        <v>0</v>
      </c>
      <c r="AN225">
        <v>0</v>
      </c>
      <c r="AO225">
        <f t="shared" si="19"/>
        <v>0</v>
      </c>
    </row>
    <row r="226" spans="1:42" x14ac:dyDescent="0.3">
      <c r="A226" t="s">
        <v>473</v>
      </c>
      <c r="B226" s="17">
        <v>46005</v>
      </c>
      <c r="C226" s="6" t="s">
        <v>236</v>
      </c>
      <c r="D226" s="6">
        <v>2</v>
      </c>
      <c r="E226">
        <v>1</v>
      </c>
      <c r="F226">
        <v>2</v>
      </c>
      <c r="G226" t="str">
        <f>A226 &amp; "-" &amp; C226 &amp; "-" &amp; D226 &amp; "-" &amp; E226 &amp; "-" &amp; F226</f>
        <v>ID_228-G-2-1-2</v>
      </c>
      <c r="H226" s="4">
        <v>0.46111111111111114</v>
      </c>
      <c r="I226" s="4">
        <v>0.46805555555555556</v>
      </c>
      <c r="J226" s="25">
        <f t="shared" si="15"/>
        <v>11.066666666666666</v>
      </c>
      <c r="K226" s="5">
        <v>22.4</v>
      </c>
      <c r="L226" s="5">
        <v>22</v>
      </c>
      <c r="M226" s="5">
        <f t="shared" si="16"/>
        <v>22.2</v>
      </c>
      <c r="N226">
        <v>23.9</v>
      </c>
      <c r="O226">
        <v>23.6</v>
      </c>
      <c r="P226">
        <v>23.3</v>
      </c>
      <c r="Q226">
        <f t="shared" si="20"/>
        <v>23.599999999999998</v>
      </c>
      <c r="R226" t="s">
        <v>25</v>
      </c>
      <c r="S226" t="s">
        <v>25</v>
      </c>
      <c r="T226">
        <v>5</v>
      </c>
      <c r="U226" t="s">
        <v>35</v>
      </c>
      <c r="V226" t="s">
        <v>31</v>
      </c>
      <c r="W226">
        <v>3</v>
      </c>
      <c r="X226" t="s">
        <v>28</v>
      </c>
      <c r="Y226" t="s">
        <v>28</v>
      </c>
      <c r="Z226">
        <v>1</v>
      </c>
      <c r="AA226">
        <v>0</v>
      </c>
      <c r="AB226">
        <v>0</v>
      </c>
      <c r="AC226">
        <v>0</v>
      </c>
      <c r="AD226">
        <v>0</v>
      </c>
      <c r="AE226">
        <v>0</v>
      </c>
      <c r="AF226">
        <v>0</v>
      </c>
      <c r="AG226">
        <v>1</v>
      </c>
      <c r="AH226">
        <v>1</v>
      </c>
      <c r="AI226">
        <v>1</v>
      </c>
      <c r="AJ226" t="s">
        <v>218</v>
      </c>
      <c r="AK226">
        <v>2</v>
      </c>
      <c r="AL226">
        <f t="shared" si="18"/>
        <v>6</v>
      </c>
      <c r="AM226">
        <v>0</v>
      </c>
      <c r="AN226">
        <v>0</v>
      </c>
      <c r="AO226">
        <f t="shared" si="19"/>
        <v>0</v>
      </c>
    </row>
    <row r="227" spans="1:42" x14ac:dyDescent="0.3">
      <c r="A227" t="s">
        <v>474</v>
      </c>
      <c r="B227" s="17">
        <v>46007</v>
      </c>
      <c r="C227" s="6" t="s">
        <v>237</v>
      </c>
      <c r="D227" s="6">
        <v>1</v>
      </c>
      <c r="E227">
        <v>1</v>
      </c>
      <c r="F227">
        <v>1</v>
      </c>
      <c r="G227" t="str">
        <f>A227 &amp; "-" &amp; C227 &amp; "-" &amp; D227 &amp; "-" &amp; E227 &amp; "-" &amp; F227</f>
        <v>ID_229-L-1-1-1</v>
      </c>
      <c r="H227" s="4">
        <v>0.4513888888888889</v>
      </c>
      <c r="I227" s="4">
        <v>0.45833333333333331</v>
      </c>
      <c r="J227" s="25">
        <f t="shared" si="15"/>
        <v>10.833333333333334</v>
      </c>
      <c r="K227" s="5">
        <v>19.2</v>
      </c>
      <c r="L227" s="5">
        <v>18.899999999999999</v>
      </c>
      <c r="M227" s="5">
        <f t="shared" si="16"/>
        <v>19.049999999999997</v>
      </c>
      <c r="N227">
        <v>23.3</v>
      </c>
      <c r="O227">
        <v>27.2</v>
      </c>
      <c r="P227">
        <v>27.2</v>
      </c>
      <c r="Q227">
        <f t="shared" si="20"/>
        <v>25.900000000000002</v>
      </c>
      <c r="R227" t="s">
        <v>32</v>
      </c>
      <c r="S227" t="s">
        <v>32</v>
      </c>
      <c r="T227">
        <v>2</v>
      </c>
      <c r="U227" t="s">
        <v>37</v>
      </c>
      <c r="V227" t="s">
        <v>26</v>
      </c>
      <c r="W227">
        <v>1</v>
      </c>
      <c r="X227" t="s">
        <v>28</v>
      </c>
      <c r="Y227" t="s">
        <v>28</v>
      </c>
      <c r="Z227">
        <v>1</v>
      </c>
      <c r="AA227">
        <v>0</v>
      </c>
      <c r="AB227">
        <v>1</v>
      </c>
      <c r="AC227">
        <v>1</v>
      </c>
      <c r="AD227">
        <v>1</v>
      </c>
      <c r="AE227">
        <v>0</v>
      </c>
      <c r="AF227">
        <v>0</v>
      </c>
      <c r="AG227">
        <v>1</v>
      </c>
      <c r="AH227">
        <v>0</v>
      </c>
      <c r="AI227">
        <v>1</v>
      </c>
      <c r="AJ227" t="s">
        <v>183</v>
      </c>
      <c r="AK227">
        <v>1</v>
      </c>
      <c r="AL227">
        <f t="shared" si="18"/>
        <v>7</v>
      </c>
      <c r="AM227">
        <v>0</v>
      </c>
      <c r="AN227">
        <v>0</v>
      </c>
      <c r="AO227">
        <f t="shared" si="19"/>
        <v>0</v>
      </c>
    </row>
    <row r="228" spans="1:42" x14ac:dyDescent="0.3">
      <c r="A228" t="s">
        <v>475</v>
      </c>
      <c r="B228" s="17">
        <v>46007</v>
      </c>
      <c r="C228" s="6" t="s">
        <v>237</v>
      </c>
      <c r="D228" s="6">
        <v>1</v>
      </c>
      <c r="E228">
        <v>1</v>
      </c>
      <c r="F228">
        <v>1</v>
      </c>
      <c r="G228" t="str">
        <f>A228 &amp; "-" &amp; C228 &amp; "-" &amp; D228 &amp; "-" &amp; E228 &amp; "-" &amp; F228</f>
        <v>ID_230-L-1-1-1</v>
      </c>
      <c r="H228" s="4">
        <v>0.4513888888888889</v>
      </c>
      <c r="I228" s="4">
        <v>0.45902777777777776</v>
      </c>
      <c r="J228" s="25">
        <f t="shared" si="15"/>
        <v>10.833333333333334</v>
      </c>
      <c r="K228" s="5">
        <v>19.2</v>
      </c>
      <c r="L228" s="5">
        <v>18.899999999999999</v>
      </c>
      <c r="M228" s="5">
        <f t="shared" si="16"/>
        <v>19.049999999999997</v>
      </c>
      <c r="N228">
        <v>23.3</v>
      </c>
      <c r="O228">
        <v>27.2</v>
      </c>
      <c r="P228">
        <v>27.2</v>
      </c>
      <c r="Q228">
        <f t="shared" si="20"/>
        <v>25.900000000000002</v>
      </c>
      <c r="R228" t="s">
        <v>32</v>
      </c>
      <c r="S228" t="s">
        <v>32</v>
      </c>
      <c r="T228">
        <v>2</v>
      </c>
      <c r="U228" t="s">
        <v>37</v>
      </c>
      <c r="V228" t="s">
        <v>26</v>
      </c>
      <c r="W228">
        <v>1</v>
      </c>
      <c r="X228" t="s">
        <v>28</v>
      </c>
      <c r="Y228" t="s">
        <v>28</v>
      </c>
      <c r="Z228">
        <v>1</v>
      </c>
      <c r="AA228">
        <v>0</v>
      </c>
      <c r="AB228">
        <v>0</v>
      </c>
      <c r="AC228">
        <v>1</v>
      </c>
      <c r="AD228">
        <v>1</v>
      </c>
      <c r="AE228">
        <v>0</v>
      </c>
      <c r="AF228">
        <v>0</v>
      </c>
      <c r="AG228">
        <v>0</v>
      </c>
      <c r="AH228">
        <v>0</v>
      </c>
      <c r="AI228">
        <v>1</v>
      </c>
      <c r="AJ228" t="s">
        <v>216</v>
      </c>
      <c r="AK228">
        <v>2</v>
      </c>
      <c r="AL228">
        <f t="shared" si="18"/>
        <v>6</v>
      </c>
      <c r="AM228">
        <v>0</v>
      </c>
      <c r="AN228">
        <v>0</v>
      </c>
      <c r="AO228">
        <f t="shared" si="19"/>
        <v>0</v>
      </c>
    </row>
    <row r="229" spans="1:42" x14ac:dyDescent="0.3">
      <c r="A229" t="s">
        <v>476</v>
      </c>
      <c r="B229" s="17">
        <v>46007</v>
      </c>
      <c r="C229" s="6" t="s">
        <v>237</v>
      </c>
      <c r="D229" s="6">
        <v>1</v>
      </c>
      <c r="E229">
        <v>1</v>
      </c>
      <c r="F229">
        <v>2</v>
      </c>
      <c r="G229" t="str">
        <f>A229 &amp; "-" &amp; C229 &amp; "-" &amp; D229 &amp; "-" &amp; E229 &amp; "-" &amp; F229</f>
        <v>ID_231-L-1-1-2</v>
      </c>
      <c r="H229" s="4">
        <v>0.46041666666666664</v>
      </c>
      <c r="I229" s="4">
        <v>0.46736111111111112</v>
      </c>
      <c r="J229" s="25">
        <f t="shared" si="15"/>
        <v>11.05</v>
      </c>
      <c r="K229" s="5">
        <v>18.899999999999999</v>
      </c>
      <c r="L229" s="5">
        <v>20.5</v>
      </c>
      <c r="M229" s="5">
        <f t="shared" si="16"/>
        <v>19.7</v>
      </c>
      <c r="N229">
        <v>23.3</v>
      </c>
      <c r="O229">
        <v>27.2</v>
      </c>
      <c r="P229">
        <v>27.2</v>
      </c>
      <c r="Q229">
        <f t="shared" si="20"/>
        <v>25.900000000000002</v>
      </c>
      <c r="R229" t="s">
        <v>32</v>
      </c>
      <c r="S229" t="s">
        <v>32</v>
      </c>
      <c r="T229">
        <v>2</v>
      </c>
      <c r="U229" t="s">
        <v>26</v>
      </c>
      <c r="V229" t="s">
        <v>26</v>
      </c>
      <c r="W229">
        <v>2</v>
      </c>
      <c r="X229" t="s">
        <v>28</v>
      </c>
      <c r="Y229" t="s">
        <v>28</v>
      </c>
      <c r="Z229">
        <v>1</v>
      </c>
      <c r="AA229">
        <v>1</v>
      </c>
      <c r="AB229">
        <v>0</v>
      </c>
      <c r="AC229">
        <v>1</v>
      </c>
      <c r="AD229">
        <v>1</v>
      </c>
      <c r="AE229">
        <v>0</v>
      </c>
      <c r="AF229">
        <v>0</v>
      </c>
      <c r="AG229">
        <v>1</v>
      </c>
      <c r="AH229">
        <v>0</v>
      </c>
      <c r="AI229">
        <v>1</v>
      </c>
      <c r="AJ229" t="s">
        <v>184</v>
      </c>
      <c r="AK229">
        <v>1</v>
      </c>
      <c r="AL229">
        <f t="shared" si="18"/>
        <v>7</v>
      </c>
      <c r="AM229">
        <v>2</v>
      </c>
      <c r="AN229">
        <v>0</v>
      </c>
      <c r="AO229">
        <f t="shared" si="19"/>
        <v>2</v>
      </c>
    </row>
    <row r="230" spans="1:42" x14ac:dyDescent="0.3">
      <c r="A230" t="s">
        <v>477</v>
      </c>
      <c r="B230" s="17">
        <v>46007</v>
      </c>
      <c r="C230" s="6" t="s">
        <v>237</v>
      </c>
      <c r="D230" s="6">
        <v>1</v>
      </c>
      <c r="E230">
        <v>1</v>
      </c>
      <c r="F230">
        <v>2</v>
      </c>
      <c r="G230" t="str">
        <f>A230 &amp; "-" &amp; C230 &amp; "-" &amp; D230 &amp; "-" &amp; E230 &amp; "-" &amp; F230</f>
        <v>ID_232-L-1-1-2</v>
      </c>
      <c r="H230" s="4">
        <v>0.46041666666666664</v>
      </c>
      <c r="I230" s="4">
        <v>0.46805555555555556</v>
      </c>
      <c r="J230" s="25">
        <f t="shared" si="15"/>
        <v>11.05</v>
      </c>
      <c r="K230" s="5">
        <v>18.899999999999999</v>
      </c>
      <c r="L230" s="5">
        <v>20.5</v>
      </c>
      <c r="M230" s="5">
        <f t="shared" si="16"/>
        <v>19.7</v>
      </c>
      <c r="N230">
        <v>23.3</v>
      </c>
      <c r="O230">
        <v>27.2</v>
      </c>
      <c r="P230">
        <v>27.2</v>
      </c>
      <c r="Q230">
        <f t="shared" si="20"/>
        <v>25.900000000000002</v>
      </c>
      <c r="R230" t="s">
        <v>32</v>
      </c>
      <c r="S230" t="s">
        <v>32</v>
      </c>
      <c r="T230">
        <v>2</v>
      </c>
      <c r="U230" t="s">
        <v>37</v>
      </c>
      <c r="V230" t="s">
        <v>26</v>
      </c>
      <c r="W230">
        <v>1</v>
      </c>
      <c r="X230" t="s">
        <v>28</v>
      </c>
      <c r="Y230" t="s">
        <v>28</v>
      </c>
      <c r="Z230">
        <v>1</v>
      </c>
      <c r="AA230">
        <v>1</v>
      </c>
      <c r="AB230">
        <v>1</v>
      </c>
      <c r="AC230">
        <v>1</v>
      </c>
      <c r="AD230">
        <v>1</v>
      </c>
      <c r="AE230">
        <v>0</v>
      </c>
      <c r="AF230">
        <v>0</v>
      </c>
      <c r="AG230">
        <v>1</v>
      </c>
      <c r="AH230">
        <v>1</v>
      </c>
      <c r="AI230">
        <v>1</v>
      </c>
      <c r="AJ230" t="s">
        <v>36</v>
      </c>
      <c r="AK230">
        <v>0</v>
      </c>
      <c r="AL230">
        <f t="shared" si="18"/>
        <v>8</v>
      </c>
      <c r="AM230">
        <v>0</v>
      </c>
      <c r="AN230">
        <v>0</v>
      </c>
      <c r="AO230">
        <f t="shared" si="19"/>
        <v>0</v>
      </c>
      <c r="AP230" t="s">
        <v>176</v>
      </c>
    </row>
    <row r="231" spans="1:42" x14ac:dyDescent="0.3">
      <c r="A231" t="s">
        <v>478</v>
      </c>
      <c r="B231" s="17">
        <v>46007</v>
      </c>
      <c r="C231" s="6" t="s">
        <v>237</v>
      </c>
      <c r="D231" s="6">
        <v>2</v>
      </c>
      <c r="E231">
        <v>1</v>
      </c>
      <c r="F231">
        <v>1</v>
      </c>
      <c r="G231" t="str">
        <f>A231 &amp; "-" &amp; C231 &amp; "-" &amp; D231 &amp; "-" &amp; E231 &amp; "-" &amp; F231</f>
        <v>ID_233-L-2-1-1</v>
      </c>
      <c r="H231" s="4">
        <v>0.5444444444444444</v>
      </c>
      <c r="I231" s="4">
        <v>0.55138888888888893</v>
      </c>
      <c r="J231" s="25">
        <f t="shared" si="15"/>
        <v>13.066666666666666</v>
      </c>
      <c r="K231" s="5">
        <v>21.7</v>
      </c>
      <c r="L231" s="5">
        <v>22.7</v>
      </c>
      <c r="M231" s="5">
        <f t="shared" si="16"/>
        <v>22.2</v>
      </c>
      <c r="N231">
        <v>23.3</v>
      </c>
      <c r="O231">
        <v>27.2</v>
      </c>
      <c r="P231">
        <v>27.2</v>
      </c>
      <c r="Q231">
        <f t="shared" si="20"/>
        <v>25.900000000000002</v>
      </c>
      <c r="R231" t="s">
        <v>32</v>
      </c>
      <c r="S231" t="s">
        <v>32</v>
      </c>
      <c r="T231">
        <v>2</v>
      </c>
      <c r="U231" t="s">
        <v>26</v>
      </c>
      <c r="V231" t="s">
        <v>26</v>
      </c>
      <c r="W231">
        <v>2</v>
      </c>
      <c r="X231" t="s">
        <v>28</v>
      </c>
      <c r="Y231" t="s">
        <v>28</v>
      </c>
      <c r="Z231">
        <v>0</v>
      </c>
      <c r="AA231">
        <v>1</v>
      </c>
      <c r="AB231">
        <v>0</v>
      </c>
      <c r="AC231">
        <v>1</v>
      </c>
      <c r="AD231">
        <v>1</v>
      </c>
      <c r="AE231">
        <v>0</v>
      </c>
      <c r="AF231">
        <v>0</v>
      </c>
      <c r="AG231">
        <v>1</v>
      </c>
      <c r="AH231">
        <v>1</v>
      </c>
      <c r="AI231">
        <v>1</v>
      </c>
      <c r="AJ231" t="s">
        <v>182</v>
      </c>
      <c r="AK231">
        <v>2</v>
      </c>
      <c r="AL231">
        <f t="shared" si="18"/>
        <v>8</v>
      </c>
      <c r="AM231">
        <v>1</v>
      </c>
      <c r="AN231">
        <v>0</v>
      </c>
      <c r="AO231">
        <f t="shared" si="19"/>
        <v>1</v>
      </c>
    </row>
    <row r="232" spans="1:42" x14ac:dyDescent="0.3">
      <c r="A232" t="s">
        <v>479</v>
      </c>
      <c r="B232" s="17">
        <v>46007</v>
      </c>
      <c r="C232" s="6" t="s">
        <v>237</v>
      </c>
      <c r="D232" s="6">
        <v>2</v>
      </c>
      <c r="E232">
        <v>1</v>
      </c>
      <c r="F232">
        <v>2</v>
      </c>
      <c r="G232" t="str">
        <f>A232 &amp; "-" &amp; C232 &amp; "-" &amp; D232 &amp; "-" &amp; E232 &amp; "-" &amp; F232</f>
        <v>ID_234-L-2-1-2</v>
      </c>
      <c r="H232" s="4">
        <v>0.55277777777777781</v>
      </c>
      <c r="I232" s="4">
        <v>0.55972222222222223</v>
      </c>
      <c r="J232" s="25">
        <f t="shared" si="15"/>
        <v>13.266666666666667</v>
      </c>
      <c r="K232" s="5">
        <v>22.7</v>
      </c>
      <c r="L232" s="5">
        <v>22.8</v>
      </c>
      <c r="M232" s="5">
        <f t="shared" si="16"/>
        <v>22.75</v>
      </c>
      <c r="N232">
        <v>23.3</v>
      </c>
      <c r="O232">
        <v>27.2</v>
      </c>
      <c r="P232">
        <v>27.2</v>
      </c>
      <c r="Q232">
        <f t="shared" si="20"/>
        <v>25.900000000000002</v>
      </c>
      <c r="R232" t="s">
        <v>32</v>
      </c>
      <c r="S232" t="s">
        <v>32</v>
      </c>
      <c r="T232">
        <v>2</v>
      </c>
      <c r="U232" t="s">
        <v>26</v>
      </c>
      <c r="V232" t="s">
        <v>26</v>
      </c>
      <c r="W232">
        <v>2</v>
      </c>
      <c r="X232" t="s">
        <v>28</v>
      </c>
      <c r="Y232" t="s">
        <v>28</v>
      </c>
      <c r="Z232">
        <v>1</v>
      </c>
      <c r="AA232">
        <v>0</v>
      </c>
      <c r="AB232">
        <v>1</v>
      </c>
      <c r="AC232">
        <v>1</v>
      </c>
      <c r="AD232">
        <v>1</v>
      </c>
      <c r="AE232">
        <v>0</v>
      </c>
      <c r="AF232">
        <v>0</v>
      </c>
      <c r="AG232">
        <v>1</v>
      </c>
      <c r="AH232">
        <v>0</v>
      </c>
      <c r="AI232">
        <v>1</v>
      </c>
      <c r="AJ232" t="s">
        <v>36</v>
      </c>
      <c r="AK232">
        <v>0</v>
      </c>
      <c r="AL232">
        <f t="shared" si="18"/>
        <v>6</v>
      </c>
      <c r="AM232">
        <v>0</v>
      </c>
      <c r="AN232">
        <v>0</v>
      </c>
      <c r="AO232">
        <f t="shared" si="19"/>
        <v>0</v>
      </c>
    </row>
    <row r="233" spans="1:42" x14ac:dyDescent="0.3">
      <c r="A233" t="s">
        <v>480</v>
      </c>
      <c r="B233" s="17">
        <v>46007</v>
      </c>
      <c r="C233" s="6" t="s">
        <v>237</v>
      </c>
      <c r="D233" s="6">
        <v>2</v>
      </c>
      <c r="E233">
        <v>1</v>
      </c>
      <c r="F233">
        <v>3</v>
      </c>
      <c r="G233" t="str">
        <f>A233 &amp; "-" &amp; C233 &amp; "-" &amp; D233 &amp; "-" &amp; E233 &amp; "-" &amp; F233</f>
        <v>ID_235-L-2-1-3</v>
      </c>
      <c r="H233" s="4">
        <v>0.56041666666666667</v>
      </c>
      <c r="I233" s="4">
        <v>0.56736111111111109</v>
      </c>
      <c r="J233" s="25">
        <f t="shared" si="15"/>
        <v>13.45</v>
      </c>
      <c r="K233" s="5">
        <v>22.8</v>
      </c>
      <c r="L233" s="5">
        <v>23.1</v>
      </c>
      <c r="M233" s="5">
        <f t="shared" si="16"/>
        <v>22.950000000000003</v>
      </c>
      <c r="N233">
        <v>23.3</v>
      </c>
      <c r="O233">
        <v>27.2</v>
      </c>
      <c r="P233">
        <v>27.2</v>
      </c>
      <c r="Q233">
        <f t="shared" si="20"/>
        <v>25.900000000000002</v>
      </c>
      <c r="R233" t="s">
        <v>32</v>
      </c>
      <c r="S233" t="s">
        <v>50</v>
      </c>
      <c r="T233">
        <v>2</v>
      </c>
      <c r="U233" t="s">
        <v>26</v>
      </c>
      <c r="V233" t="s">
        <v>37</v>
      </c>
      <c r="W233">
        <v>2</v>
      </c>
      <c r="X233" t="s">
        <v>28</v>
      </c>
      <c r="Y233" t="s">
        <v>28</v>
      </c>
      <c r="Z233">
        <v>1</v>
      </c>
      <c r="AA233">
        <v>0</v>
      </c>
      <c r="AB233">
        <v>0</v>
      </c>
      <c r="AC233">
        <v>1</v>
      </c>
      <c r="AD233">
        <v>1</v>
      </c>
      <c r="AE233">
        <v>0</v>
      </c>
      <c r="AF233">
        <v>0</v>
      </c>
      <c r="AG233">
        <v>1</v>
      </c>
      <c r="AH233">
        <v>1</v>
      </c>
      <c r="AI233">
        <v>1</v>
      </c>
      <c r="AJ233" t="s">
        <v>38</v>
      </c>
      <c r="AK233">
        <v>1</v>
      </c>
      <c r="AL233">
        <f t="shared" si="18"/>
        <v>7</v>
      </c>
      <c r="AM233">
        <v>0</v>
      </c>
      <c r="AN233">
        <v>0</v>
      </c>
      <c r="AO233">
        <f t="shared" si="19"/>
        <v>0</v>
      </c>
    </row>
    <row r="234" spans="1:42" x14ac:dyDescent="0.3">
      <c r="A234" t="s">
        <v>481</v>
      </c>
      <c r="B234" s="17">
        <v>46007</v>
      </c>
      <c r="C234" s="6" t="s">
        <v>237</v>
      </c>
      <c r="D234" s="6">
        <v>2</v>
      </c>
      <c r="E234">
        <v>1</v>
      </c>
      <c r="F234">
        <v>4</v>
      </c>
      <c r="G234" t="str">
        <f>A234 &amp; "-" &amp; C234 &amp; "-" &amp; D234 &amp; "-" &amp; E234 &amp; "-" &amp; F234</f>
        <v>ID_236-L-2-1-4</v>
      </c>
      <c r="H234" s="4">
        <v>0.56805555555555554</v>
      </c>
      <c r="I234" s="4">
        <v>0.57499999999999996</v>
      </c>
      <c r="J234" s="25">
        <f t="shared" si="15"/>
        <v>13.633333333333333</v>
      </c>
      <c r="K234" s="5">
        <v>23.1</v>
      </c>
      <c r="L234" s="5">
        <v>22.9</v>
      </c>
      <c r="M234" s="5">
        <f t="shared" si="16"/>
        <v>23</v>
      </c>
      <c r="N234">
        <v>23.3</v>
      </c>
      <c r="O234">
        <v>27.2</v>
      </c>
      <c r="P234">
        <v>27.2</v>
      </c>
      <c r="Q234">
        <f t="shared" si="20"/>
        <v>25.900000000000002</v>
      </c>
      <c r="R234" t="s">
        <v>50</v>
      </c>
      <c r="S234" t="s">
        <v>50</v>
      </c>
      <c r="T234">
        <v>1</v>
      </c>
      <c r="U234" t="s">
        <v>37</v>
      </c>
      <c r="V234" t="s">
        <v>37</v>
      </c>
      <c r="W234">
        <v>1</v>
      </c>
      <c r="X234" t="s">
        <v>28</v>
      </c>
      <c r="Y234" t="s">
        <v>28</v>
      </c>
      <c r="Z234">
        <v>1</v>
      </c>
      <c r="AA234">
        <v>0</v>
      </c>
      <c r="AB234">
        <v>0</v>
      </c>
      <c r="AC234">
        <v>1</v>
      </c>
      <c r="AD234">
        <v>0</v>
      </c>
      <c r="AE234">
        <v>0</v>
      </c>
      <c r="AF234">
        <v>0</v>
      </c>
      <c r="AG234">
        <v>1</v>
      </c>
      <c r="AH234">
        <v>0</v>
      </c>
      <c r="AI234">
        <v>1</v>
      </c>
      <c r="AJ234" t="s">
        <v>181</v>
      </c>
      <c r="AK234">
        <v>1</v>
      </c>
      <c r="AL234">
        <f t="shared" si="18"/>
        <v>5</v>
      </c>
      <c r="AM234">
        <v>0</v>
      </c>
      <c r="AN234">
        <v>0</v>
      </c>
      <c r="AO234">
        <f t="shared" si="19"/>
        <v>0</v>
      </c>
    </row>
    <row r="235" spans="1:42" x14ac:dyDescent="0.3">
      <c r="A235" t="s">
        <v>482</v>
      </c>
      <c r="B235" s="17">
        <v>46007</v>
      </c>
      <c r="C235" s="6" t="s">
        <v>237</v>
      </c>
      <c r="D235" s="6">
        <v>4</v>
      </c>
      <c r="E235">
        <v>1</v>
      </c>
      <c r="F235">
        <v>1</v>
      </c>
      <c r="G235" t="str">
        <f>A235 &amp; "-" &amp; C235 &amp; "-" &amp; D235 &amp; "-" &amp; E235 &amp; "-" &amp; F235</f>
        <v>ID_237-L-4-1-1</v>
      </c>
      <c r="H235" s="4">
        <v>0.59375</v>
      </c>
      <c r="I235" s="4">
        <v>0.60069444444444442</v>
      </c>
      <c r="J235" s="25">
        <f t="shared" si="15"/>
        <v>14.25</v>
      </c>
      <c r="K235" s="5">
        <v>24.1</v>
      </c>
      <c r="L235" s="5">
        <v>24.8</v>
      </c>
      <c r="M235" s="5">
        <f t="shared" si="16"/>
        <v>24.450000000000003</v>
      </c>
      <c r="N235">
        <v>23.3</v>
      </c>
      <c r="O235">
        <v>27.2</v>
      </c>
      <c r="P235">
        <v>27.2</v>
      </c>
      <c r="Q235">
        <f t="shared" si="20"/>
        <v>25.900000000000002</v>
      </c>
      <c r="R235" t="s">
        <v>50</v>
      </c>
      <c r="S235" t="s">
        <v>50</v>
      </c>
      <c r="T235">
        <v>1</v>
      </c>
      <c r="U235" t="s">
        <v>35</v>
      </c>
      <c r="V235" t="s">
        <v>35</v>
      </c>
      <c r="W235">
        <v>3</v>
      </c>
      <c r="X235" t="s">
        <v>28</v>
      </c>
      <c r="Y235" t="s">
        <v>28</v>
      </c>
      <c r="Z235">
        <v>0</v>
      </c>
      <c r="AA235">
        <v>0</v>
      </c>
      <c r="AB235">
        <v>0</v>
      </c>
      <c r="AC235">
        <v>0</v>
      </c>
      <c r="AD235">
        <v>0</v>
      </c>
      <c r="AE235">
        <v>0</v>
      </c>
      <c r="AF235">
        <v>0</v>
      </c>
      <c r="AG235">
        <v>1</v>
      </c>
      <c r="AH235">
        <v>0</v>
      </c>
      <c r="AI235">
        <v>1</v>
      </c>
      <c r="AJ235" t="s">
        <v>220</v>
      </c>
      <c r="AK235">
        <v>2</v>
      </c>
      <c r="AL235">
        <f t="shared" si="18"/>
        <v>4</v>
      </c>
      <c r="AM235">
        <v>0</v>
      </c>
      <c r="AN235">
        <v>0</v>
      </c>
      <c r="AO235">
        <f t="shared" si="19"/>
        <v>0</v>
      </c>
    </row>
    <row r="236" spans="1:42" x14ac:dyDescent="0.3">
      <c r="A236" t="s">
        <v>483</v>
      </c>
      <c r="B236" s="17">
        <v>46007</v>
      </c>
      <c r="C236" s="6" t="s">
        <v>237</v>
      </c>
      <c r="D236" s="6">
        <v>4</v>
      </c>
      <c r="E236">
        <v>1</v>
      </c>
      <c r="F236">
        <v>1</v>
      </c>
      <c r="G236" t="str">
        <f>A236 &amp; "-" &amp; C236 &amp; "-" &amp; D236 &amp; "-" &amp; E236 &amp; "-" &amp; F236</f>
        <v>ID_238-L-4-1-1</v>
      </c>
      <c r="H236" s="4">
        <v>0.59375</v>
      </c>
      <c r="I236" s="4">
        <v>0.60138888888888886</v>
      </c>
      <c r="J236" s="25">
        <f t="shared" si="15"/>
        <v>14.25</v>
      </c>
      <c r="K236" s="5">
        <v>24.1</v>
      </c>
      <c r="L236" s="5">
        <v>24.8</v>
      </c>
      <c r="M236" s="5">
        <f t="shared" si="16"/>
        <v>24.450000000000003</v>
      </c>
      <c r="N236">
        <v>23.3</v>
      </c>
      <c r="O236">
        <v>27.2</v>
      </c>
      <c r="P236">
        <v>27.2</v>
      </c>
      <c r="Q236">
        <f t="shared" si="20"/>
        <v>25.900000000000002</v>
      </c>
      <c r="R236" t="s">
        <v>50</v>
      </c>
      <c r="S236" t="s">
        <v>50</v>
      </c>
      <c r="T236">
        <v>1</v>
      </c>
      <c r="U236" t="s">
        <v>35</v>
      </c>
      <c r="V236" t="s">
        <v>35</v>
      </c>
      <c r="W236">
        <v>3</v>
      </c>
      <c r="X236" t="s">
        <v>28</v>
      </c>
      <c r="Y236" t="s">
        <v>28</v>
      </c>
      <c r="Z236">
        <v>1</v>
      </c>
      <c r="AA236">
        <v>0</v>
      </c>
      <c r="AB236">
        <v>1</v>
      </c>
      <c r="AC236">
        <v>1</v>
      </c>
      <c r="AD236">
        <v>0</v>
      </c>
      <c r="AE236">
        <v>0</v>
      </c>
      <c r="AF236">
        <v>0</v>
      </c>
      <c r="AG236">
        <v>1</v>
      </c>
      <c r="AH236">
        <v>0</v>
      </c>
      <c r="AI236">
        <v>1</v>
      </c>
      <c r="AJ236" t="s">
        <v>211</v>
      </c>
      <c r="AK236">
        <v>1</v>
      </c>
      <c r="AL236">
        <f t="shared" si="18"/>
        <v>6</v>
      </c>
      <c r="AM236">
        <v>0</v>
      </c>
      <c r="AN236">
        <v>0</v>
      </c>
      <c r="AO236">
        <f t="shared" si="19"/>
        <v>0</v>
      </c>
      <c r="AP236" t="s">
        <v>185</v>
      </c>
    </row>
    <row r="237" spans="1:42" x14ac:dyDescent="0.3">
      <c r="A237" t="s">
        <v>484</v>
      </c>
      <c r="B237" s="17">
        <v>46007</v>
      </c>
      <c r="C237" s="6" t="s">
        <v>237</v>
      </c>
      <c r="D237" s="6">
        <v>5</v>
      </c>
      <c r="E237">
        <v>1</v>
      </c>
      <c r="F237">
        <v>1</v>
      </c>
      <c r="G237" t="str">
        <f>A237 &amp; "-" &amp; C237 &amp; "-" &amp; D237 &amp; "-" &amp; E237 &amp; "-" &amp; F237</f>
        <v>ID_239-L-5-1-1</v>
      </c>
      <c r="H237" s="4">
        <v>0.58402777777777781</v>
      </c>
      <c r="I237" s="4">
        <v>0.59097222222222223</v>
      </c>
      <c r="J237" s="25">
        <f t="shared" si="15"/>
        <v>14.016666666666667</v>
      </c>
      <c r="K237" s="5">
        <v>23.6</v>
      </c>
      <c r="L237" s="5">
        <v>24.1</v>
      </c>
      <c r="M237" s="5">
        <f t="shared" si="16"/>
        <v>23.85</v>
      </c>
      <c r="N237">
        <v>23.3</v>
      </c>
      <c r="O237">
        <v>27.2</v>
      </c>
      <c r="P237">
        <v>27.2</v>
      </c>
      <c r="Q237">
        <f t="shared" si="20"/>
        <v>25.900000000000002</v>
      </c>
      <c r="R237" t="s">
        <v>50</v>
      </c>
      <c r="S237" t="s">
        <v>50</v>
      </c>
      <c r="T237">
        <v>1</v>
      </c>
      <c r="U237" t="s">
        <v>37</v>
      </c>
      <c r="V237" t="s">
        <v>26</v>
      </c>
      <c r="W237">
        <v>1</v>
      </c>
      <c r="X237" t="s">
        <v>28</v>
      </c>
      <c r="Y237" t="s">
        <v>28</v>
      </c>
      <c r="Z237">
        <v>0</v>
      </c>
      <c r="AA237">
        <v>0</v>
      </c>
      <c r="AB237">
        <v>1</v>
      </c>
      <c r="AC237">
        <v>1</v>
      </c>
      <c r="AD237">
        <v>1</v>
      </c>
      <c r="AE237">
        <v>0</v>
      </c>
      <c r="AF237">
        <v>0</v>
      </c>
      <c r="AG237">
        <v>0</v>
      </c>
      <c r="AH237">
        <v>1</v>
      </c>
      <c r="AI237">
        <v>1</v>
      </c>
      <c r="AJ237" t="s">
        <v>221</v>
      </c>
      <c r="AK237">
        <v>2</v>
      </c>
      <c r="AL237">
        <f t="shared" si="18"/>
        <v>7</v>
      </c>
      <c r="AM237">
        <v>0</v>
      </c>
      <c r="AN237">
        <v>0</v>
      </c>
      <c r="AO237">
        <f t="shared" si="19"/>
        <v>0</v>
      </c>
    </row>
    <row r="238" spans="1:42" x14ac:dyDescent="0.3">
      <c r="A238" t="s">
        <v>485</v>
      </c>
      <c r="B238" s="17">
        <v>46008</v>
      </c>
      <c r="C238" s="6" t="s">
        <v>238</v>
      </c>
      <c r="D238" s="6" t="s">
        <v>241</v>
      </c>
      <c r="E238">
        <v>1</v>
      </c>
      <c r="F238">
        <v>1</v>
      </c>
      <c r="G238" t="str">
        <f>A238 &amp; "-" &amp; C238 &amp; "-" &amp; D238 &amp; "-" &amp; E238 &amp; "-" &amp; F238</f>
        <v>ID_240-M-11-1-1</v>
      </c>
      <c r="H238" s="4">
        <v>0.55694444444444446</v>
      </c>
      <c r="I238" s="4">
        <v>0.56388888888888888</v>
      </c>
      <c r="J238" s="25">
        <f t="shared" si="15"/>
        <v>13.366666666666667</v>
      </c>
      <c r="K238" s="5">
        <v>30.6</v>
      </c>
      <c r="L238" s="5">
        <v>30.5</v>
      </c>
      <c r="M238" s="5">
        <f t="shared" si="16"/>
        <v>30.55</v>
      </c>
      <c r="N238">
        <v>27.2</v>
      </c>
      <c r="O238">
        <v>27.2</v>
      </c>
      <c r="P238">
        <v>26.1</v>
      </c>
      <c r="Q238">
        <f t="shared" si="20"/>
        <v>26.833333333333332</v>
      </c>
      <c r="R238" t="s">
        <v>56</v>
      </c>
      <c r="S238" t="s">
        <v>56</v>
      </c>
      <c r="T238">
        <v>0</v>
      </c>
      <c r="U238" t="s">
        <v>26</v>
      </c>
      <c r="V238" t="s">
        <v>26</v>
      </c>
      <c r="W238">
        <v>2</v>
      </c>
      <c r="X238" t="s">
        <v>28</v>
      </c>
      <c r="Y238" t="s">
        <v>28</v>
      </c>
      <c r="Z238">
        <v>0</v>
      </c>
      <c r="AA238">
        <v>0</v>
      </c>
      <c r="AB238">
        <v>1</v>
      </c>
      <c r="AC238">
        <v>1</v>
      </c>
      <c r="AD238">
        <v>1</v>
      </c>
      <c r="AE238">
        <v>0</v>
      </c>
      <c r="AF238">
        <v>0</v>
      </c>
      <c r="AG238">
        <v>1</v>
      </c>
      <c r="AH238">
        <v>1</v>
      </c>
      <c r="AI238">
        <v>1</v>
      </c>
      <c r="AJ238" t="s">
        <v>171</v>
      </c>
      <c r="AK238">
        <v>1</v>
      </c>
      <c r="AL238">
        <f t="shared" si="18"/>
        <v>7</v>
      </c>
      <c r="AM238">
        <v>0</v>
      </c>
      <c r="AN238">
        <v>0</v>
      </c>
      <c r="AO238">
        <f t="shared" si="19"/>
        <v>0</v>
      </c>
      <c r="AP238" t="s">
        <v>172</v>
      </c>
    </row>
    <row r="239" spans="1:42" x14ac:dyDescent="0.3">
      <c r="A239" t="s">
        <v>486</v>
      </c>
      <c r="B239" s="17">
        <v>46008</v>
      </c>
      <c r="C239" s="6" t="s">
        <v>238</v>
      </c>
      <c r="D239" s="6">
        <v>1</v>
      </c>
      <c r="E239">
        <v>1</v>
      </c>
      <c r="F239">
        <v>1</v>
      </c>
      <c r="G239" t="str">
        <f>A239 &amp; "-" &amp; C239 &amp; "-" &amp; D239 &amp; "-" &amp; E239 &amp; "-" &amp; F239</f>
        <v>ID_241-M-1-1-1</v>
      </c>
      <c r="H239" s="4">
        <v>0.58194444444444449</v>
      </c>
      <c r="I239" s="4">
        <v>0.58888888888888891</v>
      </c>
      <c r="J239" s="25">
        <f t="shared" si="15"/>
        <v>13.966666666666667</v>
      </c>
      <c r="K239" s="5">
        <v>30.5</v>
      </c>
      <c r="L239" s="5">
        <v>30.5</v>
      </c>
      <c r="M239" s="5">
        <f t="shared" si="16"/>
        <v>30.5</v>
      </c>
      <c r="N239">
        <v>27.2</v>
      </c>
      <c r="O239">
        <v>27.2</v>
      </c>
      <c r="P239">
        <v>26.1</v>
      </c>
      <c r="Q239">
        <f t="shared" si="20"/>
        <v>26.833333333333332</v>
      </c>
      <c r="R239" t="s">
        <v>56</v>
      </c>
      <c r="S239" t="s">
        <v>56</v>
      </c>
      <c r="T239">
        <v>0</v>
      </c>
      <c r="U239" t="s">
        <v>26</v>
      </c>
      <c r="V239" t="s">
        <v>31</v>
      </c>
      <c r="W239">
        <v>2</v>
      </c>
      <c r="X239" t="s">
        <v>28</v>
      </c>
      <c r="Y239" t="s">
        <v>28</v>
      </c>
      <c r="Z239">
        <v>0</v>
      </c>
      <c r="AA239">
        <v>0</v>
      </c>
      <c r="AB239">
        <v>0</v>
      </c>
      <c r="AC239">
        <v>0</v>
      </c>
      <c r="AD239">
        <v>1</v>
      </c>
      <c r="AE239">
        <v>0</v>
      </c>
      <c r="AF239">
        <v>0</v>
      </c>
      <c r="AG239">
        <v>1</v>
      </c>
      <c r="AH239">
        <v>1</v>
      </c>
      <c r="AI239">
        <v>1</v>
      </c>
      <c r="AJ239" t="s">
        <v>36</v>
      </c>
      <c r="AK239">
        <v>0</v>
      </c>
      <c r="AL239">
        <f t="shared" si="18"/>
        <v>4</v>
      </c>
      <c r="AM239">
        <v>0</v>
      </c>
      <c r="AN239">
        <v>0</v>
      </c>
      <c r="AO239">
        <f t="shared" si="19"/>
        <v>0</v>
      </c>
    </row>
    <row r="240" spans="1:42" x14ac:dyDescent="0.3">
      <c r="A240" t="s">
        <v>487</v>
      </c>
      <c r="B240" s="17">
        <v>46008</v>
      </c>
      <c r="C240" s="6" t="s">
        <v>238</v>
      </c>
      <c r="D240" s="6">
        <v>1</v>
      </c>
      <c r="E240">
        <v>1</v>
      </c>
      <c r="F240">
        <v>1</v>
      </c>
      <c r="G240" t="str">
        <f>A240 &amp; "-" &amp; C240 &amp; "-" &amp; D240 &amp; "-" &amp; E240 &amp; "-" &amp; F240</f>
        <v>ID_242-M-1-1-1</v>
      </c>
      <c r="H240" s="4">
        <v>0.58194444444444449</v>
      </c>
      <c r="I240" s="4">
        <v>0.58888888888888891</v>
      </c>
      <c r="J240" s="25">
        <f t="shared" si="15"/>
        <v>13.966666666666667</v>
      </c>
      <c r="K240" s="5">
        <v>30.5</v>
      </c>
      <c r="L240" s="5">
        <v>30.5</v>
      </c>
      <c r="M240" s="5">
        <f t="shared" si="16"/>
        <v>30.5</v>
      </c>
      <c r="N240">
        <v>27.2</v>
      </c>
      <c r="O240">
        <v>27.2</v>
      </c>
      <c r="P240">
        <v>26.1</v>
      </c>
      <c r="Q240">
        <f t="shared" si="20"/>
        <v>26.833333333333332</v>
      </c>
      <c r="R240" t="s">
        <v>56</v>
      </c>
      <c r="S240" t="s">
        <v>56</v>
      </c>
      <c r="T240">
        <v>0</v>
      </c>
      <c r="U240" t="s">
        <v>37</v>
      </c>
      <c r="V240" t="s">
        <v>35</v>
      </c>
      <c r="W240">
        <v>1</v>
      </c>
      <c r="X240" t="s">
        <v>28</v>
      </c>
      <c r="Y240" t="s">
        <v>28</v>
      </c>
      <c r="Z240">
        <v>0</v>
      </c>
      <c r="AA240">
        <v>0</v>
      </c>
      <c r="AB240">
        <v>0</v>
      </c>
      <c r="AC240">
        <v>1</v>
      </c>
      <c r="AD240">
        <v>0</v>
      </c>
      <c r="AE240">
        <v>0</v>
      </c>
      <c r="AF240">
        <v>0</v>
      </c>
      <c r="AG240">
        <v>1</v>
      </c>
      <c r="AH240">
        <v>0</v>
      </c>
      <c r="AI240">
        <v>1</v>
      </c>
      <c r="AJ240" t="s">
        <v>222</v>
      </c>
      <c r="AK240">
        <v>2</v>
      </c>
      <c r="AL240">
        <f t="shared" si="18"/>
        <v>5</v>
      </c>
      <c r="AM240">
        <v>0</v>
      </c>
      <c r="AN240">
        <v>0</v>
      </c>
      <c r="AO240">
        <f t="shared" si="19"/>
        <v>0</v>
      </c>
    </row>
    <row r="241" spans="1:42" x14ac:dyDescent="0.3">
      <c r="A241" t="s">
        <v>488</v>
      </c>
      <c r="B241" s="17">
        <v>46008</v>
      </c>
      <c r="C241" s="6" t="s">
        <v>238</v>
      </c>
      <c r="D241" s="6">
        <v>1</v>
      </c>
      <c r="E241">
        <v>1</v>
      </c>
      <c r="F241">
        <v>2</v>
      </c>
      <c r="G241" t="str">
        <f>A241 &amp; "-" &amp; C241 &amp; "-" &amp; D241 &amp; "-" &amp; E241 &amp; "-" &amp; F241</f>
        <v>ID_243-M-1-1-2</v>
      </c>
      <c r="H241" s="4">
        <v>0.59027777777777779</v>
      </c>
      <c r="I241" s="4">
        <v>0.59722222222222221</v>
      </c>
      <c r="J241" s="25">
        <f t="shared" si="15"/>
        <v>14.166666666666666</v>
      </c>
      <c r="K241" s="5">
        <v>30.5</v>
      </c>
      <c r="L241" s="5">
        <v>29.7</v>
      </c>
      <c r="M241" s="5">
        <f t="shared" si="16"/>
        <v>30.1</v>
      </c>
      <c r="N241">
        <v>27.2</v>
      </c>
      <c r="O241">
        <v>27.2</v>
      </c>
      <c r="P241">
        <v>26.1</v>
      </c>
      <c r="Q241">
        <f t="shared" si="20"/>
        <v>26.833333333333332</v>
      </c>
      <c r="R241" t="s">
        <v>56</v>
      </c>
      <c r="S241" t="s">
        <v>56</v>
      </c>
      <c r="T241">
        <v>0</v>
      </c>
      <c r="U241" t="s">
        <v>26</v>
      </c>
      <c r="V241" t="s">
        <v>26</v>
      </c>
      <c r="W241">
        <v>2</v>
      </c>
      <c r="X241" t="s">
        <v>28</v>
      </c>
      <c r="Y241" t="s">
        <v>28</v>
      </c>
      <c r="Z241">
        <v>1</v>
      </c>
      <c r="AA241">
        <v>0</v>
      </c>
      <c r="AB241">
        <v>0</v>
      </c>
      <c r="AC241">
        <v>0</v>
      </c>
      <c r="AD241">
        <v>0</v>
      </c>
      <c r="AE241">
        <v>0</v>
      </c>
      <c r="AF241">
        <v>0</v>
      </c>
      <c r="AG241">
        <v>1</v>
      </c>
      <c r="AH241">
        <v>0</v>
      </c>
      <c r="AI241">
        <v>1</v>
      </c>
      <c r="AJ241" t="s">
        <v>59</v>
      </c>
      <c r="AK241">
        <v>1</v>
      </c>
      <c r="AL241">
        <f t="shared" si="18"/>
        <v>4</v>
      </c>
      <c r="AM241">
        <v>0</v>
      </c>
      <c r="AN241">
        <v>0</v>
      </c>
      <c r="AO241">
        <f t="shared" si="19"/>
        <v>0</v>
      </c>
    </row>
    <row r="242" spans="1:42" x14ac:dyDescent="0.3">
      <c r="A242" t="s">
        <v>489</v>
      </c>
      <c r="B242" s="17">
        <v>46008</v>
      </c>
      <c r="C242" s="6" t="s">
        <v>238</v>
      </c>
      <c r="D242" s="6">
        <v>1</v>
      </c>
      <c r="E242">
        <v>2</v>
      </c>
      <c r="F242">
        <v>1</v>
      </c>
      <c r="G242" t="str">
        <f>A242 &amp; "-" &amp; C242 &amp; "-" &amp; D242 &amp; "-" &amp; E242 &amp; "-" &amp; F242</f>
        <v>ID_244-M-1-2-1</v>
      </c>
      <c r="H242" s="4">
        <v>0.59027777777777779</v>
      </c>
      <c r="I242" s="4">
        <v>0.59722222222222221</v>
      </c>
      <c r="J242" s="25">
        <f t="shared" si="15"/>
        <v>14.166666666666666</v>
      </c>
      <c r="K242" s="5">
        <v>30.5</v>
      </c>
      <c r="L242" s="5">
        <v>29.7</v>
      </c>
      <c r="M242" s="5">
        <f t="shared" si="16"/>
        <v>30.1</v>
      </c>
      <c r="N242">
        <v>27.2</v>
      </c>
      <c r="O242">
        <v>27.2</v>
      </c>
      <c r="P242">
        <v>26.1</v>
      </c>
      <c r="Q242">
        <f t="shared" si="20"/>
        <v>26.833333333333332</v>
      </c>
      <c r="R242" t="s">
        <v>56</v>
      </c>
      <c r="S242" t="s">
        <v>56</v>
      </c>
      <c r="T242">
        <v>0</v>
      </c>
      <c r="U242" t="s">
        <v>37</v>
      </c>
      <c r="V242" t="s">
        <v>26</v>
      </c>
      <c r="W242">
        <v>1</v>
      </c>
      <c r="X242" t="s">
        <v>28</v>
      </c>
      <c r="Y242" t="s">
        <v>28</v>
      </c>
      <c r="Z242">
        <v>1</v>
      </c>
      <c r="AA242">
        <v>0</v>
      </c>
      <c r="AB242">
        <v>0</v>
      </c>
      <c r="AC242">
        <v>0</v>
      </c>
      <c r="AD242">
        <v>1</v>
      </c>
      <c r="AE242">
        <v>0</v>
      </c>
      <c r="AF242">
        <v>0</v>
      </c>
      <c r="AG242">
        <v>1</v>
      </c>
      <c r="AH242">
        <v>0</v>
      </c>
      <c r="AI242">
        <v>1</v>
      </c>
      <c r="AJ242" t="s">
        <v>177</v>
      </c>
      <c r="AK242">
        <v>1</v>
      </c>
      <c r="AL242">
        <f t="shared" si="18"/>
        <v>5</v>
      </c>
      <c r="AM242">
        <v>0</v>
      </c>
      <c r="AN242">
        <v>0</v>
      </c>
      <c r="AO242">
        <f t="shared" si="19"/>
        <v>0</v>
      </c>
    </row>
    <row r="243" spans="1:42" x14ac:dyDescent="0.3">
      <c r="A243" t="s">
        <v>490</v>
      </c>
      <c r="B243" s="17">
        <v>46008</v>
      </c>
      <c r="C243" s="6" t="s">
        <v>238</v>
      </c>
      <c r="D243" s="6">
        <v>2</v>
      </c>
      <c r="E243">
        <v>1</v>
      </c>
      <c r="F243">
        <v>1</v>
      </c>
      <c r="G243" t="str">
        <f>A243 &amp; "-" &amp; C243 &amp; "-" &amp; D243 &amp; "-" &amp; E243 &amp; "-" &amp; F243</f>
        <v>ID_245-M-2-1-1</v>
      </c>
      <c r="H243" s="4">
        <v>0.60763888888888884</v>
      </c>
      <c r="I243" s="4">
        <v>0.61458333333333337</v>
      </c>
      <c r="J243" s="25">
        <f t="shared" si="15"/>
        <v>14.583333333333334</v>
      </c>
      <c r="K243" s="5">
        <v>30.9</v>
      </c>
      <c r="L243" s="5">
        <v>30.6</v>
      </c>
      <c r="M243" s="5">
        <f t="shared" si="16"/>
        <v>30.75</v>
      </c>
      <c r="N243">
        <v>27.2</v>
      </c>
      <c r="O243">
        <v>27.2</v>
      </c>
      <c r="P243">
        <v>26.1</v>
      </c>
      <c r="Q243">
        <f t="shared" si="20"/>
        <v>26.833333333333332</v>
      </c>
      <c r="R243" t="s">
        <v>56</v>
      </c>
      <c r="S243" t="s">
        <v>56</v>
      </c>
      <c r="T243">
        <v>0</v>
      </c>
      <c r="U243" t="s">
        <v>37</v>
      </c>
      <c r="V243" t="s">
        <v>26</v>
      </c>
      <c r="W243">
        <v>1</v>
      </c>
      <c r="X243" t="s">
        <v>28</v>
      </c>
      <c r="Y243" t="s">
        <v>28</v>
      </c>
      <c r="Z243">
        <v>1</v>
      </c>
      <c r="AA243">
        <v>0</v>
      </c>
      <c r="AB243">
        <v>1</v>
      </c>
      <c r="AC243">
        <v>0</v>
      </c>
      <c r="AD243">
        <v>1</v>
      </c>
      <c r="AE243">
        <v>0</v>
      </c>
      <c r="AF243">
        <v>0</v>
      </c>
      <c r="AG243">
        <v>1</v>
      </c>
      <c r="AH243">
        <v>0</v>
      </c>
      <c r="AI243">
        <v>1</v>
      </c>
      <c r="AJ243" t="s">
        <v>36</v>
      </c>
      <c r="AK243">
        <v>0</v>
      </c>
      <c r="AL243">
        <f t="shared" si="18"/>
        <v>5</v>
      </c>
      <c r="AM243">
        <v>0</v>
      </c>
      <c r="AN243">
        <v>0</v>
      </c>
      <c r="AO243">
        <f t="shared" si="19"/>
        <v>0</v>
      </c>
    </row>
    <row r="244" spans="1:42" x14ac:dyDescent="0.3">
      <c r="A244" t="s">
        <v>491</v>
      </c>
      <c r="B244" s="17">
        <v>46008</v>
      </c>
      <c r="C244" s="6" t="s">
        <v>238</v>
      </c>
      <c r="D244" s="6">
        <v>2</v>
      </c>
      <c r="E244">
        <v>1</v>
      </c>
      <c r="F244">
        <v>1</v>
      </c>
      <c r="G244" t="str">
        <f>A244 &amp; "-" &amp; C244 &amp; "-" &amp; D244 &amp; "-" &amp; E244 &amp; "-" &amp; F244</f>
        <v>ID_246-M-2-1-1</v>
      </c>
      <c r="H244" s="4">
        <v>0.60833333333333328</v>
      </c>
      <c r="I244" s="4">
        <v>0.61458333333333337</v>
      </c>
      <c r="J244" s="25">
        <f t="shared" si="15"/>
        <v>14.6</v>
      </c>
      <c r="K244" s="5">
        <v>30.2</v>
      </c>
      <c r="L244" s="5">
        <v>20.6</v>
      </c>
      <c r="M244" s="5">
        <f t="shared" si="16"/>
        <v>25.4</v>
      </c>
      <c r="N244">
        <v>27.2</v>
      </c>
      <c r="O244">
        <v>27.2</v>
      </c>
      <c r="P244">
        <v>26.1</v>
      </c>
      <c r="Q244">
        <f t="shared" si="20"/>
        <v>26.833333333333332</v>
      </c>
      <c r="R244" t="s">
        <v>56</v>
      </c>
      <c r="S244" t="s">
        <v>56</v>
      </c>
      <c r="T244">
        <v>0</v>
      </c>
      <c r="U244" t="s">
        <v>37</v>
      </c>
      <c r="V244" t="s">
        <v>37</v>
      </c>
      <c r="W244">
        <v>1</v>
      </c>
      <c r="X244" t="s">
        <v>28</v>
      </c>
      <c r="Y244" t="s">
        <v>28</v>
      </c>
      <c r="Z244">
        <v>1</v>
      </c>
      <c r="AA244">
        <v>0</v>
      </c>
      <c r="AB244">
        <v>0</v>
      </c>
      <c r="AC244">
        <v>1</v>
      </c>
      <c r="AD244">
        <v>0</v>
      </c>
      <c r="AE244">
        <v>0</v>
      </c>
      <c r="AF244">
        <v>0</v>
      </c>
      <c r="AG244">
        <v>1</v>
      </c>
      <c r="AH244">
        <v>0</v>
      </c>
      <c r="AI244">
        <v>1</v>
      </c>
      <c r="AJ244" t="s">
        <v>36</v>
      </c>
      <c r="AK244">
        <v>0</v>
      </c>
      <c r="AL244">
        <f t="shared" si="18"/>
        <v>4</v>
      </c>
      <c r="AM244">
        <v>0</v>
      </c>
      <c r="AN244">
        <v>0</v>
      </c>
      <c r="AO244">
        <f t="shared" si="19"/>
        <v>0</v>
      </c>
    </row>
    <row r="245" spans="1:42" x14ac:dyDescent="0.3">
      <c r="A245" t="s">
        <v>492</v>
      </c>
      <c r="B245" s="17">
        <v>46008</v>
      </c>
      <c r="C245" s="6" t="s">
        <v>238</v>
      </c>
      <c r="D245" s="6">
        <v>4</v>
      </c>
      <c r="E245">
        <v>1</v>
      </c>
      <c r="F245">
        <v>1</v>
      </c>
      <c r="G245" t="str">
        <f>A245 &amp; "-" &amp; C245 &amp; "-" &amp; D245 &amp; "-" &amp; E245 &amp; "-" &amp; F245</f>
        <v>ID_247-M-4-1-1</v>
      </c>
      <c r="H245" s="4">
        <v>0.45763888888888887</v>
      </c>
      <c r="I245" s="4">
        <v>0.46527777777777779</v>
      </c>
      <c r="J245" s="25">
        <f t="shared" si="15"/>
        <v>10.983333333333333</v>
      </c>
      <c r="K245" s="5">
        <v>23.8</v>
      </c>
      <c r="L245" s="5">
        <v>23.2</v>
      </c>
      <c r="M245" s="5">
        <f t="shared" si="16"/>
        <v>23.5</v>
      </c>
      <c r="N245">
        <v>27.2</v>
      </c>
      <c r="O245">
        <v>27.2</v>
      </c>
      <c r="P245">
        <v>26.1</v>
      </c>
      <c r="Q245">
        <f t="shared" si="20"/>
        <v>26.833333333333332</v>
      </c>
      <c r="R245" t="s">
        <v>56</v>
      </c>
      <c r="S245" t="s">
        <v>56</v>
      </c>
      <c r="T245">
        <v>0</v>
      </c>
      <c r="U245" t="s">
        <v>37</v>
      </c>
      <c r="V245" t="s">
        <v>47</v>
      </c>
      <c r="W245">
        <v>1</v>
      </c>
      <c r="X245" t="s">
        <v>28</v>
      </c>
      <c r="Y245" t="s">
        <v>28</v>
      </c>
      <c r="Z245">
        <v>1</v>
      </c>
      <c r="AA245">
        <v>0</v>
      </c>
      <c r="AB245">
        <v>0</v>
      </c>
      <c r="AC245">
        <v>1</v>
      </c>
      <c r="AD245">
        <v>1</v>
      </c>
      <c r="AE245">
        <v>0</v>
      </c>
      <c r="AF245">
        <v>0</v>
      </c>
      <c r="AG245">
        <v>1</v>
      </c>
      <c r="AH245">
        <v>1</v>
      </c>
      <c r="AI245">
        <v>1</v>
      </c>
      <c r="AJ245" t="s">
        <v>36</v>
      </c>
      <c r="AK245">
        <v>0</v>
      </c>
      <c r="AL245">
        <f t="shared" si="18"/>
        <v>6</v>
      </c>
      <c r="AM245">
        <v>1</v>
      </c>
      <c r="AN245">
        <v>0</v>
      </c>
      <c r="AO245">
        <f t="shared" si="19"/>
        <v>1</v>
      </c>
    </row>
    <row r="246" spans="1:42" x14ac:dyDescent="0.3">
      <c r="A246" t="s">
        <v>493</v>
      </c>
      <c r="B246" s="17">
        <v>46008</v>
      </c>
      <c r="C246" s="6" t="s">
        <v>238</v>
      </c>
      <c r="D246" s="6">
        <v>4</v>
      </c>
      <c r="E246">
        <v>1</v>
      </c>
      <c r="F246">
        <v>1</v>
      </c>
      <c r="G246" t="str">
        <f>A246 &amp; "-" &amp; C246 &amp; "-" &amp; D246 &amp; "-" &amp; E246 &amp; "-" &amp; F246</f>
        <v>ID_248-M-4-1-1</v>
      </c>
      <c r="H246" s="4">
        <v>0.45763888888888887</v>
      </c>
      <c r="I246" s="4">
        <v>0.46458333333333335</v>
      </c>
      <c r="J246" s="25">
        <f t="shared" si="15"/>
        <v>10.983333333333333</v>
      </c>
      <c r="K246" s="5">
        <v>23.8</v>
      </c>
      <c r="L246" s="5">
        <v>23.2</v>
      </c>
      <c r="M246" s="5">
        <f t="shared" si="16"/>
        <v>23.5</v>
      </c>
      <c r="N246">
        <v>27.2</v>
      </c>
      <c r="O246">
        <v>27.2</v>
      </c>
      <c r="P246">
        <v>26.1</v>
      </c>
      <c r="Q246">
        <f t="shared" si="20"/>
        <v>26.833333333333332</v>
      </c>
      <c r="R246" t="s">
        <v>56</v>
      </c>
      <c r="S246" t="s">
        <v>56</v>
      </c>
      <c r="T246">
        <v>0</v>
      </c>
      <c r="U246" t="s">
        <v>37</v>
      </c>
      <c r="V246" t="s">
        <v>37</v>
      </c>
      <c r="W246">
        <v>1</v>
      </c>
      <c r="X246" t="s">
        <v>28</v>
      </c>
      <c r="Y246" t="s">
        <v>28</v>
      </c>
      <c r="Z246">
        <v>1</v>
      </c>
      <c r="AA246">
        <v>0</v>
      </c>
      <c r="AB246">
        <v>1</v>
      </c>
      <c r="AC246">
        <v>1</v>
      </c>
      <c r="AD246">
        <v>1</v>
      </c>
      <c r="AE246">
        <v>0</v>
      </c>
      <c r="AF246">
        <v>0</v>
      </c>
      <c r="AG246">
        <v>1</v>
      </c>
      <c r="AH246">
        <v>1</v>
      </c>
      <c r="AI246">
        <v>1</v>
      </c>
      <c r="AJ246" t="s">
        <v>36</v>
      </c>
      <c r="AK246">
        <v>0</v>
      </c>
      <c r="AL246">
        <f t="shared" si="18"/>
        <v>7</v>
      </c>
      <c r="AM246">
        <v>2</v>
      </c>
      <c r="AN246">
        <v>0</v>
      </c>
      <c r="AO246">
        <f t="shared" si="19"/>
        <v>2</v>
      </c>
    </row>
    <row r="247" spans="1:42" x14ac:dyDescent="0.3">
      <c r="A247" t="s">
        <v>494</v>
      </c>
      <c r="B247" s="17">
        <v>46008</v>
      </c>
      <c r="C247" s="6" t="s">
        <v>238</v>
      </c>
      <c r="D247" s="6">
        <v>4</v>
      </c>
      <c r="E247">
        <v>1</v>
      </c>
      <c r="F247">
        <v>2</v>
      </c>
      <c r="G247" t="str">
        <f>A247 &amp; "-" &amp; C247 &amp; "-" &amp; D247 &amp; "-" &amp; E247 &amp; "-" &amp; F247</f>
        <v>ID_249-M-4-1-2</v>
      </c>
      <c r="H247" s="4">
        <v>0.46666666666666667</v>
      </c>
      <c r="I247" s="4">
        <v>0.47361111111111109</v>
      </c>
      <c r="J247" s="25">
        <f t="shared" si="15"/>
        <v>11.2</v>
      </c>
      <c r="K247" s="5">
        <v>23.2</v>
      </c>
      <c r="L247" s="5">
        <v>24.8</v>
      </c>
      <c r="M247" s="5">
        <f t="shared" si="16"/>
        <v>24</v>
      </c>
      <c r="N247">
        <v>27.2</v>
      </c>
      <c r="O247">
        <v>27.2</v>
      </c>
      <c r="P247">
        <v>26.1</v>
      </c>
      <c r="Q247">
        <f t="shared" si="20"/>
        <v>26.833333333333332</v>
      </c>
      <c r="R247" t="s">
        <v>56</v>
      </c>
      <c r="S247" t="s">
        <v>56</v>
      </c>
      <c r="T247">
        <v>0</v>
      </c>
      <c r="U247" t="s">
        <v>37</v>
      </c>
      <c r="V247" t="s">
        <v>26</v>
      </c>
      <c r="W247">
        <v>1</v>
      </c>
      <c r="X247" t="s">
        <v>28</v>
      </c>
      <c r="Y247" t="s">
        <v>28</v>
      </c>
      <c r="Z247">
        <v>1</v>
      </c>
      <c r="AA247">
        <v>0</v>
      </c>
      <c r="AB247">
        <v>0</v>
      </c>
      <c r="AC247">
        <v>1</v>
      </c>
      <c r="AD247">
        <v>0</v>
      </c>
      <c r="AE247">
        <v>0</v>
      </c>
      <c r="AF247">
        <v>0</v>
      </c>
      <c r="AG247">
        <v>1</v>
      </c>
      <c r="AH247">
        <v>1</v>
      </c>
      <c r="AI247">
        <v>1</v>
      </c>
      <c r="AJ247" t="s">
        <v>36</v>
      </c>
      <c r="AK247">
        <v>0</v>
      </c>
      <c r="AL247">
        <f t="shared" si="18"/>
        <v>5</v>
      </c>
      <c r="AM247">
        <v>1</v>
      </c>
      <c r="AN247">
        <v>0</v>
      </c>
      <c r="AO247">
        <f t="shared" si="19"/>
        <v>1</v>
      </c>
      <c r="AP247" t="s">
        <v>169</v>
      </c>
    </row>
    <row r="248" spans="1:42" x14ac:dyDescent="0.3">
      <c r="A248" t="s">
        <v>495</v>
      </c>
      <c r="B248" s="17">
        <v>46008</v>
      </c>
      <c r="C248" s="6" t="s">
        <v>238</v>
      </c>
      <c r="D248" s="6">
        <v>4</v>
      </c>
      <c r="E248">
        <v>1</v>
      </c>
      <c r="F248">
        <v>2</v>
      </c>
      <c r="G248" t="str">
        <f>A248 &amp; "-" &amp; C248 &amp; "-" &amp; D248 &amp; "-" &amp; E248 &amp; "-" &amp; F248</f>
        <v>ID_250-M-4-1-2</v>
      </c>
      <c r="H248" s="4">
        <v>0.46666666666666667</v>
      </c>
      <c r="I248" s="4">
        <v>0.47430555555555554</v>
      </c>
      <c r="J248" s="25">
        <f t="shared" si="15"/>
        <v>11.2</v>
      </c>
      <c r="K248" s="5">
        <v>23.2</v>
      </c>
      <c r="L248" s="5">
        <v>24.8</v>
      </c>
      <c r="M248" s="5">
        <f t="shared" si="16"/>
        <v>24</v>
      </c>
      <c r="N248">
        <v>27.2</v>
      </c>
      <c r="O248">
        <v>27.2</v>
      </c>
      <c r="P248">
        <v>26.1</v>
      </c>
      <c r="Q248">
        <f t="shared" si="20"/>
        <v>26.833333333333332</v>
      </c>
      <c r="R248" t="s">
        <v>56</v>
      </c>
      <c r="S248" t="s">
        <v>56</v>
      </c>
      <c r="T248">
        <v>0</v>
      </c>
      <c r="U248" t="s">
        <v>47</v>
      </c>
      <c r="V248" t="s">
        <v>47</v>
      </c>
      <c r="W248">
        <v>0</v>
      </c>
      <c r="X248" t="s">
        <v>28</v>
      </c>
      <c r="Y248" t="s">
        <v>28</v>
      </c>
      <c r="Z248">
        <v>1</v>
      </c>
      <c r="AA248">
        <v>0</v>
      </c>
      <c r="AB248">
        <v>0</v>
      </c>
      <c r="AC248">
        <v>1</v>
      </c>
      <c r="AD248">
        <v>1</v>
      </c>
      <c r="AE248">
        <v>0</v>
      </c>
      <c r="AF248">
        <v>0</v>
      </c>
      <c r="AG248">
        <v>1</v>
      </c>
      <c r="AH248">
        <v>1</v>
      </c>
      <c r="AI248">
        <v>1</v>
      </c>
      <c r="AJ248" t="s">
        <v>36</v>
      </c>
      <c r="AK248">
        <v>0</v>
      </c>
      <c r="AL248">
        <f t="shared" si="18"/>
        <v>6</v>
      </c>
      <c r="AM248">
        <v>0</v>
      </c>
      <c r="AN248">
        <v>0</v>
      </c>
      <c r="AO248">
        <f t="shared" si="19"/>
        <v>0</v>
      </c>
      <c r="AP248" t="s">
        <v>174</v>
      </c>
    </row>
    <row r="249" spans="1:42" x14ac:dyDescent="0.3">
      <c r="A249" t="s">
        <v>496</v>
      </c>
      <c r="B249" s="17">
        <v>46008</v>
      </c>
      <c r="C249" s="6" t="s">
        <v>238</v>
      </c>
      <c r="D249" s="6">
        <v>9</v>
      </c>
      <c r="E249">
        <v>1</v>
      </c>
      <c r="F249">
        <v>1</v>
      </c>
      <c r="G249" t="str">
        <f>A249 &amp; "-" &amp; C249 &amp; "-" &amp; D249 &amp; "-" &amp; E249 &amp; "-" &amp; F249</f>
        <v>ID_251-M-9-1-1</v>
      </c>
      <c r="H249" s="4">
        <v>0.52013888888888893</v>
      </c>
      <c r="I249" s="4">
        <v>0.52847222222222223</v>
      </c>
      <c r="J249" s="25">
        <f t="shared" si="15"/>
        <v>12.483333333333333</v>
      </c>
      <c r="K249" s="5">
        <v>27.9</v>
      </c>
      <c r="L249" s="5">
        <v>28.4</v>
      </c>
      <c r="M249" s="5">
        <f t="shared" si="16"/>
        <v>28.15</v>
      </c>
      <c r="N249">
        <v>27.2</v>
      </c>
      <c r="O249">
        <v>27.2</v>
      </c>
      <c r="P249">
        <v>26.1</v>
      </c>
      <c r="Q249">
        <f t="shared" si="20"/>
        <v>26.833333333333332</v>
      </c>
      <c r="R249" t="s">
        <v>56</v>
      </c>
      <c r="S249" t="s">
        <v>56</v>
      </c>
      <c r="T249">
        <v>0</v>
      </c>
      <c r="U249" t="s">
        <v>35</v>
      </c>
      <c r="V249" t="s">
        <v>26</v>
      </c>
      <c r="W249">
        <v>3</v>
      </c>
      <c r="X249" t="s">
        <v>28</v>
      </c>
      <c r="Y249" t="s">
        <v>28</v>
      </c>
      <c r="Z249">
        <v>1</v>
      </c>
      <c r="AA249">
        <v>0</v>
      </c>
      <c r="AB249">
        <v>0</v>
      </c>
      <c r="AC249">
        <v>1</v>
      </c>
      <c r="AD249">
        <v>1</v>
      </c>
      <c r="AE249">
        <v>0</v>
      </c>
      <c r="AF249">
        <v>0</v>
      </c>
      <c r="AG249">
        <v>1</v>
      </c>
      <c r="AH249">
        <v>1</v>
      </c>
      <c r="AI249">
        <v>1</v>
      </c>
      <c r="AJ249" t="s">
        <v>175</v>
      </c>
      <c r="AK249">
        <v>1</v>
      </c>
      <c r="AL249">
        <f t="shared" si="18"/>
        <v>7</v>
      </c>
      <c r="AM249">
        <v>0</v>
      </c>
      <c r="AN249">
        <v>0</v>
      </c>
      <c r="AO249">
        <f t="shared" si="19"/>
        <v>0</v>
      </c>
    </row>
    <row r="250" spans="1:42" x14ac:dyDescent="0.3">
      <c r="A250" t="s">
        <v>497</v>
      </c>
      <c r="B250" s="17">
        <v>46008</v>
      </c>
      <c r="C250" s="6" t="s">
        <v>238</v>
      </c>
      <c r="D250" s="6">
        <v>9</v>
      </c>
      <c r="E250">
        <v>1</v>
      </c>
      <c r="F250">
        <v>1</v>
      </c>
      <c r="G250" t="str">
        <f>A250 &amp; "-" &amp; C250 &amp; "-" &amp; D250 &amp; "-" &amp; E250 &amp; "-" &amp; F250</f>
        <v>ID_252-M-9-1-1</v>
      </c>
      <c r="H250" s="4">
        <v>0.52013888888888893</v>
      </c>
      <c r="I250" s="4">
        <v>0.52708333333333335</v>
      </c>
      <c r="J250" s="25">
        <f t="shared" si="15"/>
        <v>12.483333333333333</v>
      </c>
      <c r="K250" s="5">
        <v>27.9</v>
      </c>
      <c r="L250" s="5">
        <v>28.4</v>
      </c>
      <c r="M250" s="5">
        <f t="shared" si="16"/>
        <v>28.15</v>
      </c>
      <c r="N250">
        <v>27.2</v>
      </c>
      <c r="O250">
        <v>27.2</v>
      </c>
      <c r="P250">
        <v>26.1</v>
      </c>
      <c r="Q250">
        <f t="shared" si="20"/>
        <v>26.833333333333332</v>
      </c>
      <c r="R250" t="s">
        <v>56</v>
      </c>
      <c r="S250" t="s">
        <v>56</v>
      </c>
      <c r="T250">
        <v>0</v>
      </c>
      <c r="U250" t="s">
        <v>35</v>
      </c>
      <c r="V250" t="s">
        <v>35</v>
      </c>
      <c r="W250">
        <v>3</v>
      </c>
      <c r="X250" t="s">
        <v>28</v>
      </c>
      <c r="Y250" t="s">
        <v>28</v>
      </c>
      <c r="Z250">
        <v>1</v>
      </c>
      <c r="AA250">
        <v>0</v>
      </c>
      <c r="AB250">
        <v>0</v>
      </c>
      <c r="AC250">
        <v>1</v>
      </c>
      <c r="AD250">
        <v>1</v>
      </c>
      <c r="AE250">
        <v>1</v>
      </c>
      <c r="AF250">
        <v>0</v>
      </c>
      <c r="AG250">
        <v>1</v>
      </c>
      <c r="AH250">
        <v>1</v>
      </c>
      <c r="AI250">
        <v>1</v>
      </c>
      <c r="AJ250" t="s">
        <v>51</v>
      </c>
      <c r="AK250">
        <v>1</v>
      </c>
      <c r="AL250">
        <f t="shared" si="18"/>
        <v>8</v>
      </c>
      <c r="AM250">
        <v>0</v>
      </c>
      <c r="AN250">
        <v>0</v>
      </c>
      <c r="AO250">
        <f t="shared" si="19"/>
        <v>0</v>
      </c>
    </row>
    <row r="251" spans="1:42" x14ac:dyDescent="0.3">
      <c r="A251" t="s">
        <v>498</v>
      </c>
      <c r="B251" s="17">
        <v>46008</v>
      </c>
      <c r="C251" s="6" t="s">
        <v>238</v>
      </c>
      <c r="D251" s="6">
        <v>9</v>
      </c>
      <c r="E251">
        <v>1</v>
      </c>
      <c r="F251">
        <v>2</v>
      </c>
      <c r="G251" t="str">
        <f>A251 &amp; "-" &amp; C251 &amp; "-" &amp; D251 &amp; "-" &amp; E251 &amp; "-" &amp; F251</f>
        <v>ID_253-M-9-1-2</v>
      </c>
      <c r="H251" s="4">
        <v>0.52986111111111112</v>
      </c>
      <c r="I251" s="4">
        <v>0.53680555555555554</v>
      </c>
      <c r="J251" s="25">
        <f t="shared" si="15"/>
        <v>12.716666666666667</v>
      </c>
      <c r="K251" s="5">
        <v>28.4</v>
      </c>
      <c r="L251" s="5">
        <v>29.1</v>
      </c>
      <c r="M251" s="5">
        <f t="shared" si="16"/>
        <v>28.75</v>
      </c>
      <c r="N251">
        <v>27.2</v>
      </c>
      <c r="O251">
        <v>27.2</v>
      </c>
      <c r="P251">
        <v>26.1</v>
      </c>
      <c r="Q251">
        <f t="shared" si="20"/>
        <v>26.833333333333332</v>
      </c>
      <c r="R251" t="s">
        <v>56</v>
      </c>
      <c r="S251" t="s">
        <v>56</v>
      </c>
      <c r="T251">
        <v>0</v>
      </c>
      <c r="U251" t="s">
        <v>35</v>
      </c>
      <c r="V251" t="s">
        <v>26</v>
      </c>
      <c r="W251">
        <v>3</v>
      </c>
      <c r="X251" t="s">
        <v>28</v>
      </c>
      <c r="Y251" t="s">
        <v>28</v>
      </c>
      <c r="Z251">
        <v>1</v>
      </c>
      <c r="AA251">
        <v>0</v>
      </c>
      <c r="AB251">
        <v>0</v>
      </c>
      <c r="AC251">
        <v>0</v>
      </c>
      <c r="AD251">
        <v>0</v>
      </c>
      <c r="AE251">
        <v>0</v>
      </c>
      <c r="AF251">
        <v>0</v>
      </c>
      <c r="AG251">
        <v>1</v>
      </c>
      <c r="AH251">
        <v>1</v>
      </c>
      <c r="AI251">
        <v>1</v>
      </c>
      <c r="AJ251" t="s">
        <v>59</v>
      </c>
      <c r="AK251">
        <v>1</v>
      </c>
      <c r="AL251">
        <f t="shared" si="18"/>
        <v>5</v>
      </c>
      <c r="AM251">
        <v>0</v>
      </c>
      <c r="AN251">
        <v>0</v>
      </c>
      <c r="AO251">
        <f t="shared" si="19"/>
        <v>0</v>
      </c>
    </row>
    <row r="252" spans="1:42" x14ac:dyDescent="0.3">
      <c r="A252" t="s">
        <v>499</v>
      </c>
      <c r="B252" s="17">
        <v>46009</v>
      </c>
      <c r="C252" s="6" t="s">
        <v>236</v>
      </c>
      <c r="D252" s="6">
        <v>2</v>
      </c>
      <c r="E252">
        <v>1</v>
      </c>
      <c r="F252">
        <v>1</v>
      </c>
      <c r="G252" t="str">
        <f>A252 &amp; "-" &amp; C252 &amp; "-" &amp; D252 &amp; "-" &amp; E252 &amp; "-" &amp; F252</f>
        <v>ID_254-G-2-1-1</v>
      </c>
      <c r="H252" s="4">
        <v>0.44097222222222221</v>
      </c>
      <c r="I252" s="4">
        <v>0.44861111111111113</v>
      </c>
      <c r="J252" s="25">
        <f t="shared" si="15"/>
        <v>10.583333333333334</v>
      </c>
      <c r="K252" s="5">
        <v>29.5</v>
      </c>
      <c r="L252" s="5">
        <v>29.8</v>
      </c>
      <c r="M252" s="5">
        <f t="shared" si="16"/>
        <v>29.65</v>
      </c>
      <c r="N252">
        <v>27.2</v>
      </c>
      <c r="O252">
        <v>26.1</v>
      </c>
      <c r="P252">
        <v>33.700000000000003</v>
      </c>
      <c r="Q252">
        <f t="shared" si="20"/>
        <v>29</v>
      </c>
      <c r="R252" t="s">
        <v>30</v>
      </c>
      <c r="S252" t="s">
        <v>30</v>
      </c>
      <c r="T252">
        <v>3</v>
      </c>
      <c r="U252" t="s">
        <v>35</v>
      </c>
      <c r="V252" t="s">
        <v>35</v>
      </c>
      <c r="W252">
        <v>3</v>
      </c>
      <c r="X252" t="s">
        <v>28</v>
      </c>
      <c r="Y252" t="s">
        <v>28</v>
      </c>
      <c r="Z252">
        <v>0</v>
      </c>
      <c r="AA252">
        <v>0</v>
      </c>
      <c r="AB252">
        <v>0</v>
      </c>
      <c r="AC252">
        <v>0</v>
      </c>
      <c r="AD252">
        <v>1</v>
      </c>
      <c r="AE252">
        <v>0</v>
      </c>
      <c r="AF252">
        <v>0</v>
      </c>
      <c r="AG252">
        <v>1</v>
      </c>
      <c r="AH252">
        <v>1</v>
      </c>
      <c r="AI252">
        <v>1</v>
      </c>
      <c r="AJ252" t="s">
        <v>51</v>
      </c>
      <c r="AK252">
        <v>1</v>
      </c>
      <c r="AL252">
        <f t="shared" si="18"/>
        <v>5</v>
      </c>
      <c r="AM252">
        <v>0</v>
      </c>
      <c r="AN252">
        <v>0</v>
      </c>
      <c r="AO252">
        <f t="shared" si="19"/>
        <v>0</v>
      </c>
    </row>
    <row r="253" spans="1:42" x14ac:dyDescent="0.3">
      <c r="A253" t="s">
        <v>500</v>
      </c>
      <c r="B253" s="17">
        <v>46009</v>
      </c>
      <c r="C253" s="6" t="s">
        <v>236</v>
      </c>
      <c r="D253" s="6">
        <v>2</v>
      </c>
      <c r="E253">
        <v>1</v>
      </c>
      <c r="F253">
        <v>1</v>
      </c>
      <c r="G253" t="str">
        <f>A253 &amp; "-" &amp; C253 &amp; "-" &amp; D253 &amp; "-" &amp; E253 &amp; "-" &amp; F253</f>
        <v>ID_255-G-2-1-1</v>
      </c>
      <c r="H253" s="4">
        <v>0.44097222222222221</v>
      </c>
      <c r="I253" s="4">
        <v>0.44861111111111113</v>
      </c>
      <c r="J253" s="25">
        <f t="shared" si="15"/>
        <v>10.583333333333334</v>
      </c>
      <c r="K253" s="5">
        <v>29.5</v>
      </c>
      <c r="L253" s="5">
        <v>29.8</v>
      </c>
      <c r="M253" s="5">
        <f t="shared" si="16"/>
        <v>29.65</v>
      </c>
      <c r="N253">
        <v>27.2</v>
      </c>
      <c r="O253">
        <v>26.1</v>
      </c>
      <c r="P253">
        <v>33.700000000000003</v>
      </c>
      <c r="Q253">
        <f t="shared" si="20"/>
        <v>29</v>
      </c>
      <c r="R253" t="s">
        <v>30</v>
      </c>
      <c r="S253" t="s">
        <v>30</v>
      </c>
      <c r="T253">
        <v>3</v>
      </c>
      <c r="U253" t="s">
        <v>35</v>
      </c>
      <c r="V253" t="s">
        <v>35</v>
      </c>
      <c r="W253">
        <v>3</v>
      </c>
      <c r="X253" t="s">
        <v>28</v>
      </c>
      <c r="Y253" t="s">
        <v>28</v>
      </c>
      <c r="Z253">
        <v>1</v>
      </c>
      <c r="AA253">
        <v>0</v>
      </c>
      <c r="AB253">
        <v>0</v>
      </c>
      <c r="AC253">
        <v>0</v>
      </c>
      <c r="AD253">
        <v>0</v>
      </c>
      <c r="AE253">
        <v>0</v>
      </c>
      <c r="AF253">
        <v>0</v>
      </c>
      <c r="AG253">
        <v>1</v>
      </c>
      <c r="AH253">
        <v>0</v>
      </c>
      <c r="AI253">
        <v>1</v>
      </c>
      <c r="AJ253" t="s">
        <v>36</v>
      </c>
      <c r="AK253">
        <v>0</v>
      </c>
      <c r="AL253">
        <f t="shared" si="18"/>
        <v>3</v>
      </c>
      <c r="AM253">
        <v>0</v>
      </c>
      <c r="AN253">
        <v>0</v>
      </c>
      <c r="AO253">
        <f t="shared" si="19"/>
        <v>0</v>
      </c>
    </row>
    <row r="254" spans="1:42" x14ac:dyDescent="0.3">
      <c r="A254" t="s">
        <v>501</v>
      </c>
      <c r="B254" s="17">
        <v>46009</v>
      </c>
      <c r="C254" s="6" t="s">
        <v>236</v>
      </c>
      <c r="D254" s="6">
        <v>2</v>
      </c>
      <c r="E254">
        <v>1</v>
      </c>
      <c r="F254">
        <v>2</v>
      </c>
      <c r="G254" t="str">
        <f>A254 &amp; "-" &amp; C254 &amp; "-" &amp; D254 &amp; "-" &amp; E254 &amp; "-" &amp; F254</f>
        <v>ID_256-G-2-1-2</v>
      </c>
      <c r="H254" s="4">
        <v>0.45</v>
      </c>
      <c r="I254" s="4">
        <v>0.45763888888888887</v>
      </c>
      <c r="J254" s="25">
        <f t="shared" si="15"/>
        <v>10.8</v>
      </c>
      <c r="K254" s="5">
        <v>29.8</v>
      </c>
      <c r="L254" s="5">
        <v>30.4</v>
      </c>
      <c r="M254" s="5">
        <f t="shared" si="16"/>
        <v>30.1</v>
      </c>
      <c r="N254">
        <v>27.2</v>
      </c>
      <c r="O254">
        <v>26.1</v>
      </c>
      <c r="P254">
        <v>33.700000000000003</v>
      </c>
      <c r="Q254">
        <f t="shared" si="20"/>
        <v>29</v>
      </c>
      <c r="R254" t="s">
        <v>30</v>
      </c>
      <c r="S254" t="s">
        <v>30</v>
      </c>
      <c r="T254">
        <v>3</v>
      </c>
      <c r="U254" t="s">
        <v>35</v>
      </c>
      <c r="V254" t="s">
        <v>26</v>
      </c>
      <c r="W254">
        <v>3</v>
      </c>
      <c r="X254" t="s">
        <v>28</v>
      </c>
      <c r="Y254" t="s">
        <v>28</v>
      </c>
      <c r="Z254">
        <v>1</v>
      </c>
      <c r="AA254">
        <v>0</v>
      </c>
      <c r="AB254">
        <v>0</v>
      </c>
      <c r="AC254">
        <v>1</v>
      </c>
      <c r="AD254">
        <v>1</v>
      </c>
      <c r="AE254">
        <v>0</v>
      </c>
      <c r="AF254">
        <v>0</v>
      </c>
      <c r="AG254">
        <v>1</v>
      </c>
      <c r="AH254">
        <v>0</v>
      </c>
      <c r="AI254">
        <v>1</v>
      </c>
      <c r="AJ254" t="s">
        <v>34</v>
      </c>
      <c r="AK254">
        <v>1</v>
      </c>
      <c r="AL254">
        <f t="shared" si="18"/>
        <v>6</v>
      </c>
      <c r="AM254">
        <v>0</v>
      </c>
      <c r="AN254">
        <v>0</v>
      </c>
      <c r="AO254">
        <f t="shared" si="19"/>
        <v>0</v>
      </c>
    </row>
    <row r="255" spans="1:42" x14ac:dyDescent="0.3">
      <c r="A255" t="s">
        <v>502</v>
      </c>
      <c r="B255" s="17">
        <v>46009</v>
      </c>
      <c r="C255" s="6" t="s">
        <v>236</v>
      </c>
      <c r="D255" s="6">
        <v>2</v>
      </c>
      <c r="E255">
        <v>1</v>
      </c>
      <c r="F255">
        <v>2</v>
      </c>
      <c r="G255" t="str">
        <f>A255 &amp; "-" &amp; C255 &amp; "-" &amp; D255 &amp; "-" &amp; E255 &amp; "-" &amp; F255</f>
        <v>ID_257-G-2-1-2</v>
      </c>
      <c r="H255" s="4">
        <v>0.45</v>
      </c>
      <c r="I255" s="4">
        <v>0.45694444444444443</v>
      </c>
      <c r="J255" s="25">
        <f t="shared" si="15"/>
        <v>10.8</v>
      </c>
      <c r="K255" s="5">
        <v>29.8</v>
      </c>
      <c r="L255" s="5">
        <v>30.4</v>
      </c>
      <c r="M255" s="5">
        <f t="shared" si="16"/>
        <v>30.1</v>
      </c>
      <c r="N255">
        <v>27.2</v>
      </c>
      <c r="O255">
        <v>26.1</v>
      </c>
      <c r="P255">
        <v>33.700000000000003</v>
      </c>
      <c r="Q255">
        <f t="shared" si="20"/>
        <v>29</v>
      </c>
      <c r="R255" t="s">
        <v>30</v>
      </c>
      <c r="S255" t="s">
        <v>30</v>
      </c>
      <c r="T255">
        <v>3</v>
      </c>
      <c r="U255" t="s">
        <v>35</v>
      </c>
      <c r="V255" t="s">
        <v>35</v>
      </c>
      <c r="W255">
        <v>3</v>
      </c>
      <c r="X255" t="s">
        <v>28</v>
      </c>
      <c r="Y255" t="s">
        <v>28</v>
      </c>
      <c r="Z255">
        <v>1</v>
      </c>
      <c r="AA255">
        <v>0</v>
      </c>
      <c r="AB255">
        <v>0</v>
      </c>
      <c r="AC255">
        <v>1</v>
      </c>
      <c r="AD255">
        <v>1</v>
      </c>
      <c r="AE255">
        <v>0</v>
      </c>
      <c r="AF255">
        <v>0</v>
      </c>
      <c r="AG255">
        <v>1</v>
      </c>
      <c r="AH255">
        <v>1</v>
      </c>
      <c r="AI255">
        <v>1</v>
      </c>
      <c r="AJ255" t="s">
        <v>36</v>
      </c>
      <c r="AK255">
        <v>0</v>
      </c>
      <c r="AL255">
        <f t="shared" si="18"/>
        <v>6</v>
      </c>
      <c r="AM255">
        <v>0</v>
      </c>
      <c r="AN255">
        <v>0</v>
      </c>
      <c r="AO255">
        <f t="shared" si="19"/>
        <v>0</v>
      </c>
    </row>
    <row r="256" spans="1:42" x14ac:dyDescent="0.3">
      <c r="A256" t="s">
        <v>503</v>
      </c>
      <c r="B256" s="17">
        <v>46009</v>
      </c>
      <c r="C256" s="6" t="s">
        <v>236</v>
      </c>
      <c r="D256" s="6">
        <v>5</v>
      </c>
      <c r="E256">
        <v>1</v>
      </c>
      <c r="F256">
        <v>1</v>
      </c>
      <c r="G256" t="str">
        <f>A256 &amp; "-" &amp; C256 &amp; "-" &amp; D256 &amp; "-" &amp; E256 &amp; "-" &amp; F256</f>
        <v>ID_258-G-5-1-1</v>
      </c>
      <c r="H256" s="4">
        <v>0.47986111111111113</v>
      </c>
      <c r="I256" s="4">
        <v>0.48680555555555555</v>
      </c>
      <c r="J256" s="25">
        <f t="shared" si="15"/>
        <v>11.516666666666667</v>
      </c>
      <c r="K256" s="5">
        <v>32</v>
      </c>
      <c r="L256" s="5">
        <v>32.200000000000003</v>
      </c>
      <c r="M256" s="5">
        <f t="shared" si="16"/>
        <v>32.1</v>
      </c>
      <c r="N256">
        <v>27.2</v>
      </c>
      <c r="O256">
        <v>26.1</v>
      </c>
      <c r="P256">
        <v>33.700000000000003</v>
      </c>
      <c r="Q256">
        <f t="shared" si="20"/>
        <v>29</v>
      </c>
      <c r="R256" t="s">
        <v>30</v>
      </c>
      <c r="S256" t="s">
        <v>30</v>
      </c>
      <c r="T256">
        <v>3</v>
      </c>
      <c r="U256" t="s">
        <v>35</v>
      </c>
      <c r="V256" t="s">
        <v>35</v>
      </c>
      <c r="W256">
        <v>3</v>
      </c>
      <c r="X256" t="s">
        <v>28</v>
      </c>
      <c r="Y256" t="s">
        <v>28</v>
      </c>
      <c r="Z256">
        <v>1</v>
      </c>
      <c r="AA256">
        <v>0</v>
      </c>
      <c r="AB256">
        <v>0</v>
      </c>
      <c r="AC256">
        <v>1</v>
      </c>
      <c r="AD256">
        <v>0</v>
      </c>
      <c r="AE256">
        <v>0</v>
      </c>
      <c r="AF256">
        <v>0</v>
      </c>
      <c r="AG256">
        <v>1</v>
      </c>
      <c r="AH256">
        <v>0</v>
      </c>
      <c r="AI256">
        <v>0</v>
      </c>
      <c r="AJ256" t="s">
        <v>59</v>
      </c>
      <c r="AK256">
        <v>1</v>
      </c>
      <c r="AL256">
        <f t="shared" si="18"/>
        <v>4</v>
      </c>
      <c r="AM256">
        <v>0</v>
      </c>
      <c r="AN256">
        <v>0</v>
      </c>
      <c r="AO256">
        <f t="shared" si="19"/>
        <v>0</v>
      </c>
      <c r="AP256" t="s">
        <v>173</v>
      </c>
    </row>
    <row r="257" spans="1:42" x14ac:dyDescent="0.3">
      <c r="A257" t="s">
        <v>504</v>
      </c>
      <c r="B257" s="17">
        <v>46009</v>
      </c>
      <c r="C257" s="6" t="s">
        <v>236</v>
      </c>
      <c r="D257" s="6">
        <v>5</v>
      </c>
      <c r="E257">
        <v>1</v>
      </c>
      <c r="F257">
        <v>1</v>
      </c>
      <c r="G257" t="str">
        <f>A257 &amp; "-" &amp; C257 &amp; "-" &amp; D257 &amp; "-" &amp; E257 &amp; "-" &amp; F257</f>
        <v>ID_259-G-5-1-1</v>
      </c>
      <c r="H257" s="4">
        <v>0.47986111111111113</v>
      </c>
      <c r="I257" s="4">
        <v>0.48749999999999999</v>
      </c>
      <c r="J257" s="25">
        <f t="shared" si="15"/>
        <v>11.516666666666667</v>
      </c>
      <c r="K257" s="5">
        <v>32</v>
      </c>
      <c r="L257" s="5">
        <v>32.200000000000003</v>
      </c>
      <c r="M257" s="5">
        <f t="shared" si="16"/>
        <v>32.1</v>
      </c>
      <c r="N257">
        <v>27.2</v>
      </c>
      <c r="O257">
        <v>26.1</v>
      </c>
      <c r="P257">
        <v>33.700000000000003</v>
      </c>
      <c r="Q257">
        <f t="shared" si="20"/>
        <v>29</v>
      </c>
      <c r="R257" t="s">
        <v>30</v>
      </c>
      <c r="S257" t="s">
        <v>30</v>
      </c>
      <c r="T257">
        <v>3</v>
      </c>
      <c r="U257" t="s">
        <v>35</v>
      </c>
      <c r="V257" t="s">
        <v>35</v>
      </c>
      <c r="W257">
        <v>3</v>
      </c>
      <c r="X257" t="s">
        <v>28</v>
      </c>
      <c r="Y257" t="s">
        <v>28</v>
      </c>
      <c r="Z257">
        <v>1</v>
      </c>
      <c r="AA257">
        <v>0</v>
      </c>
      <c r="AB257">
        <v>0</v>
      </c>
      <c r="AC257">
        <v>1</v>
      </c>
      <c r="AD257">
        <v>0</v>
      </c>
      <c r="AE257">
        <v>0</v>
      </c>
      <c r="AF257">
        <v>0</v>
      </c>
      <c r="AG257">
        <v>1</v>
      </c>
      <c r="AH257">
        <v>0</v>
      </c>
      <c r="AI257">
        <v>0</v>
      </c>
      <c r="AJ257" t="s">
        <v>36</v>
      </c>
      <c r="AK257">
        <v>0</v>
      </c>
      <c r="AL257">
        <f t="shared" si="18"/>
        <v>3</v>
      </c>
      <c r="AM257">
        <v>1</v>
      </c>
      <c r="AN257">
        <v>0</v>
      </c>
      <c r="AO257">
        <f t="shared" si="19"/>
        <v>1</v>
      </c>
      <c r="AP257" t="s">
        <v>186</v>
      </c>
    </row>
    <row r="258" spans="1:42" x14ac:dyDescent="0.3">
      <c r="A258" t="s">
        <v>505</v>
      </c>
      <c r="B258" s="17">
        <v>46009</v>
      </c>
      <c r="C258" s="6" t="s">
        <v>236</v>
      </c>
      <c r="D258" s="6">
        <v>5</v>
      </c>
      <c r="E258">
        <v>2</v>
      </c>
      <c r="F258">
        <v>1</v>
      </c>
      <c r="G258" t="str">
        <f>A258 &amp; "-" &amp; C258 &amp; "-" &amp; D258 &amp; "-" &amp; E258 &amp; "-" &amp; F258</f>
        <v>ID_260-G-5-2-1</v>
      </c>
      <c r="H258" s="4">
        <v>0.47013888888888888</v>
      </c>
      <c r="I258" s="4">
        <v>0.47708333333333336</v>
      </c>
      <c r="J258" s="25">
        <f t="shared" ref="J258:J271" si="21">HOUR(H258)+(MINUTE(H258))/60</f>
        <v>11.283333333333333</v>
      </c>
      <c r="K258" s="5">
        <v>31</v>
      </c>
      <c r="L258" s="5">
        <v>32</v>
      </c>
      <c r="M258" s="5">
        <f t="shared" ref="M258:M271" si="22">(K258+L258)/2</f>
        <v>31.5</v>
      </c>
      <c r="N258">
        <v>27.2</v>
      </c>
      <c r="O258">
        <v>26.1</v>
      </c>
      <c r="P258">
        <v>33.700000000000003</v>
      </c>
      <c r="Q258">
        <f t="shared" si="20"/>
        <v>29</v>
      </c>
      <c r="R258" t="s">
        <v>30</v>
      </c>
      <c r="S258" t="s">
        <v>30</v>
      </c>
      <c r="T258">
        <v>3</v>
      </c>
      <c r="U258" t="s">
        <v>35</v>
      </c>
      <c r="V258" t="s">
        <v>35</v>
      </c>
      <c r="W258">
        <v>3</v>
      </c>
      <c r="X258" t="s">
        <v>28</v>
      </c>
      <c r="Y258" t="s">
        <v>28</v>
      </c>
      <c r="Z258">
        <v>1</v>
      </c>
      <c r="AA258">
        <v>0</v>
      </c>
      <c r="AB258">
        <v>0</v>
      </c>
      <c r="AC258">
        <v>0</v>
      </c>
      <c r="AD258">
        <v>0</v>
      </c>
      <c r="AE258">
        <v>0</v>
      </c>
      <c r="AF258">
        <v>0</v>
      </c>
      <c r="AG258">
        <v>1</v>
      </c>
      <c r="AH258">
        <v>0</v>
      </c>
      <c r="AI258">
        <v>1</v>
      </c>
      <c r="AJ258" t="s">
        <v>51</v>
      </c>
      <c r="AK258">
        <v>1</v>
      </c>
      <c r="AL258">
        <f t="shared" ref="AL258:AL271" si="23">Z258+AA258+AB258+AC258+AD258+AE258+AF258+AG258+AH258+AI258+AK258</f>
        <v>4</v>
      </c>
      <c r="AM258">
        <v>1</v>
      </c>
      <c r="AN258">
        <v>0</v>
      </c>
      <c r="AO258">
        <f t="shared" ref="AO258:AO271" si="24">AM258+AN258</f>
        <v>1</v>
      </c>
    </row>
    <row r="259" spans="1:42" x14ac:dyDescent="0.3">
      <c r="A259" t="s">
        <v>506</v>
      </c>
      <c r="B259" s="17">
        <v>46009</v>
      </c>
      <c r="C259" s="6" t="s">
        <v>236</v>
      </c>
      <c r="D259" s="6">
        <v>5</v>
      </c>
      <c r="E259">
        <v>2</v>
      </c>
      <c r="F259">
        <v>1</v>
      </c>
      <c r="G259" t="str">
        <f>A259 &amp; "-" &amp; C259 &amp; "-" &amp; D259 &amp; "-" &amp; E259 &amp; "-" &amp; F259</f>
        <v>ID_261-G-5-2-1</v>
      </c>
      <c r="H259" s="4">
        <v>0.47013888888888888</v>
      </c>
      <c r="I259" s="4">
        <v>0.47708333333333336</v>
      </c>
      <c r="J259" s="25">
        <f t="shared" si="21"/>
        <v>11.283333333333333</v>
      </c>
      <c r="K259" s="5">
        <v>31</v>
      </c>
      <c r="L259" s="5">
        <v>32</v>
      </c>
      <c r="M259" s="5">
        <f t="shared" si="22"/>
        <v>31.5</v>
      </c>
      <c r="N259">
        <v>27.2</v>
      </c>
      <c r="O259">
        <v>26.1</v>
      </c>
      <c r="P259">
        <v>33.700000000000003</v>
      </c>
      <c r="Q259">
        <f t="shared" si="20"/>
        <v>29</v>
      </c>
      <c r="R259" t="s">
        <v>30</v>
      </c>
      <c r="S259" t="s">
        <v>30</v>
      </c>
      <c r="T259">
        <v>3</v>
      </c>
      <c r="U259" t="s">
        <v>26</v>
      </c>
      <c r="V259" t="s">
        <v>35</v>
      </c>
      <c r="W259">
        <v>2</v>
      </c>
      <c r="X259" t="s">
        <v>28</v>
      </c>
      <c r="Y259" t="s">
        <v>28</v>
      </c>
      <c r="Z259">
        <v>1</v>
      </c>
      <c r="AA259">
        <v>0</v>
      </c>
      <c r="AB259">
        <v>0</v>
      </c>
      <c r="AC259">
        <v>1</v>
      </c>
      <c r="AD259">
        <v>0</v>
      </c>
      <c r="AE259">
        <v>0</v>
      </c>
      <c r="AF259">
        <v>0</v>
      </c>
      <c r="AG259">
        <v>1</v>
      </c>
      <c r="AH259">
        <v>0</v>
      </c>
      <c r="AI259">
        <v>1</v>
      </c>
      <c r="AJ259" t="s">
        <v>36</v>
      </c>
      <c r="AK259">
        <v>0</v>
      </c>
      <c r="AL259">
        <f t="shared" si="23"/>
        <v>4</v>
      </c>
      <c r="AM259">
        <v>0</v>
      </c>
      <c r="AN259">
        <v>0</v>
      </c>
      <c r="AO259">
        <f t="shared" si="24"/>
        <v>0</v>
      </c>
    </row>
    <row r="260" spans="1:42" x14ac:dyDescent="0.3">
      <c r="A260" t="s">
        <v>507</v>
      </c>
      <c r="B260" s="17">
        <v>46010</v>
      </c>
      <c r="C260" s="6" t="s">
        <v>238</v>
      </c>
      <c r="D260" s="6">
        <v>2</v>
      </c>
      <c r="E260">
        <v>1</v>
      </c>
      <c r="F260">
        <v>1</v>
      </c>
      <c r="G260" t="str">
        <f>A260 &amp; "-" &amp; C260 &amp; "-" &amp; D260 &amp; "-" &amp; E260 &amp; "-" &amp; F260</f>
        <v>ID_262-M-2-1-1</v>
      </c>
      <c r="H260" s="4">
        <v>0.41319444444444442</v>
      </c>
      <c r="I260" s="4">
        <v>0.42083333333333334</v>
      </c>
      <c r="J260" s="25">
        <f t="shared" si="21"/>
        <v>9.9166666666666661</v>
      </c>
      <c r="K260" s="5">
        <v>29.7</v>
      </c>
      <c r="L260" s="5">
        <v>30.4</v>
      </c>
      <c r="M260" s="5">
        <f t="shared" si="22"/>
        <v>30.049999999999997</v>
      </c>
      <c r="N260">
        <v>26.1</v>
      </c>
      <c r="O260">
        <v>33.700000000000003</v>
      </c>
      <c r="P260">
        <v>37.4</v>
      </c>
      <c r="Q260">
        <f t="shared" si="20"/>
        <v>32.4</v>
      </c>
      <c r="R260" t="s">
        <v>56</v>
      </c>
      <c r="S260" t="s">
        <v>56</v>
      </c>
      <c r="T260">
        <v>0</v>
      </c>
      <c r="U260" t="s">
        <v>26</v>
      </c>
      <c r="V260" t="s">
        <v>26</v>
      </c>
      <c r="W260">
        <v>2</v>
      </c>
      <c r="X260" t="s">
        <v>28</v>
      </c>
      <c r="Y260" t="s">
        <v>28</v>
      </c>
      <c r="Z260">
        <v>1</v>
      </c>
      <c r="AA260">
        <v>0</v>
      </c>
      <c r="AB260">
        <v>0</v>
      </c>
      <c r="AC260">
        <v>0</v>
      </c>
      <c r="AD260">
        <v>1</v>
      </c>
      <c r="AE260">
        <v>0</v>
      </c>
      <c r="AF260">
        <v>0</v>
      </c>
      <c r="AG260">
        <v>1</v>
      </c>
      <c r="AH260">
        <v>0</v>
      </c>
      <c r="AI260">
        <v>1</v>
      </c>
      <c r="AJ260" t="s">
        <v>59</v>
      </c>
      <c r="AK260">
        <v>1</v>
      </c>
      <c r="AL260">
        <f t="shared" si="23"/>
        <v>5</v>
      </c>
      <c r="AM260">
        <v>0</v>
      </c>
      <c r="AN260">
        <v>0</v>
      </c>
      <c r="AO260">
        <f t="shared" si="24"/>
        <v>0</v>
      </c>
    </row>
    <row r="261" spans="1:42" x14ac:dyDescent="0.3">
      <c r="A261" t="s">
        <v>508</v>
      </c>
      <c r="B261" s="17">
        <v>46010</v>
      </c>
      <c r="C261" s="6" t="s">
        <v>238</v>
      </c>
      <c r="D261" s="6">
        <v>2</v>
      </c>
      <c r="E261">
        <v>1</v>
      </c>
      <c r="F261">
        <v>1</v>
      </c>
      <c r="G261" t="str">
        <f>A261 &amp; "-" &amp; C261 &amp; "-" &amp; D261 &amp; "-" &amp; E261 &amp; "-" &amp; F261</f>
        <v>ID_263-M-2-1-1</v>
      </c>
      <c r="H261" s="4">
        <v>0.41319444444444442</v>
      </c>
      <c r="I261" s="4">
        <v>0.4201388888888889</v>
      </c>
      <c r="J261" s="25">
        <f t="shared" si="21"/>
        <v>9.9166666666666661</v>
      </c>
      <c r="K261" s="5">
        <v>29.7</v>
      </c>
      <c r="L261" s="5">
        <v>30.4</v>
      </c>
      <c r="M261" s="5">
        <f t="shared" si="22"/>
        <v>30.049999999999997</v>
      </c>
      <c r="N261">
        <v>26.1</v>
      </c>
      <c r="O261">
        <v>33.700000000000003</v>
      </c>
      <c r="P261">
        <v>37.4</v>
      </c>
      <c r="Q261">
        <f t="shared" si="20"/>
        <v>32.4</v>
      </c>
      <c r="R261" t="s">
        <v>56</v>
      </c>
      <c r="S261" t="s">
        <v>56</v>
      </c>
      <c r="T261">
        <v>0</v>
      </c>
      <c r="U261" t="s">
        <v>26</v>
      </c>
      <c r="V261" t="s">
        <v>26</v>
      </c>
      <c r="W261">
        <v>2</v>
      </c>
      <c r="X261" t="s">
        <v>28</v>
      </c>
      <c r="Y261" t="s">
        <v>28</v>
      </c>
      <c r="Z261">
        <v>1</v>
      </c>
      <c r="AA261">
        <v>0</v>
      </c>
      <c r="AB261">
        <v>0</v>
      </c>
      <c r="AC261">
        <v>0</v>
      </c>
      <c r="AD261">
        <v>1</v>
      </c>
      <c r="AE261">
        <v>0</v>
      </c>
      <c r="AF261">
        <v>0</v>
      </c>
      <c r="AG261">
        <v>1</v>
      </c>
      <c r="AH261">
        <v>0</v>
      </c>
      <c r="AI261">
        <v>1</v>
      </c>
      <c r="AJ261" t="s">
        <v>36</v>
      </c>
      <c r="AK261">
        <v>0</v>
      </c>
      <c r="AL261">
        <f t="shared" si="23"/>
        <v>4</v>
      </c>
      <c r="AM261">
        <v>0</v>
      </c>
      <c r="AN261">
        <v>0</v>
      </c>
      <c r="AO261">
        <f t="shared" si="24"/>
        <v>0</v>
      </c>
    </row>
    <row r="262" spans="1:42" x14ac:dyDescent="0.3">
      <c r="A262" t="s">
        <v>509</v>
      </c>
      <c r="B262" s="17">
        <v>46010</v>
      </c>
      <c r="C262" s="6" t="s">
        <v>238</v>
      </c>
      <c r="D262" s="6">
        <v>3</v>
      </c>
      <c r="E262">
        <v>1</v>
      </c>
      <c r="F262">
        <v>1</v>
      </c>
      <c r="G262" t="str">
        <f>A262 &amp; "-" &amp; C262 &amp; "-" &amp; D262 &amp; "-" &amp; E262 &amp; "-" &amp; F262</f>
        <v>ID_264-M-3-1-1</v>
      </c>
      <c r="H262" s="4">
        <v>0.4236111111111111</v>
      </c>
      <c r="I262" s="4">
        <v>0.43055555555555558</v>
      </c>
      <c r="J262" s="25">
        <f t="shared" si="21"/>
        <v>10.166666666666666</v>
      </c>
      <c r="K262" s="5">
        <v>30.4</v>
      </c>
      <c r="L262" s="5">
        <v>31</v>
      </c>
      <c r="M262" s="5">
        <f t="shared" si="22"/>
        <v>30.7</v>
      </c>
      <c r="N262">
        <v>26.1</v>
      </c>
      <c r="O262">
        <v>33.700000000000003</v>
      </c>
      <c r="P262">
        <v>37.4</v>
      </c>
      <c r="Q262">
        <f t="shared" si="20"/>
        <v>32.4</v>
      </c>
      <c r="R262" t="s">
        <v>56</v>
      </c>
      <c r="S262" t="s">
        <v>56</v>
      </c>
      <c r="T262">
        <v>0</v>
      </c>
      <c r="U262" t="s">
        <v>26</v>
      </c>
      <c r="V262" t="s">
        <v>26</v>
      </c>
      <c r="W262">
        <v>2</v>
      </c>
      <c r="X262" t="s">
        <v>28</v>
      </c>
      <c r="Y262" t="s">
        <v>28</v>
      </c>
      <c r="Z262">
        <v>0</v>
      </c>
      <c r="AA262">
        <v>0</v>
      </c>
      <c r="AB262">
        <v>0</v>
      </c>
      <c r="AC262">
        <v>0</v>
      </c>
      <c r="AD262">
        <v>1</v>
      </c>
      <c r="AE262">
        <v>0</v>
      </c>
      <c r="AF262">
        <v>0</v>
      </c>
      <c r="AG262">
        <v>1</v>
      </c>
      <c r="AH262">
        <v>1</v>
      </c>
      <c r="AI262">
        <v>1</v>
      </c>
      <c r="AJ262" t="s">
        <v>36</v>
      </c>
      <c r="AK262">
        <v>0</v>
      </c>
      <c r="AL262">
        <f t="shared" si="23"/>
        <v>4</v>
      </c>
      <c r="AM262">
        <v>0</v>
      </c>
      <c r="AN262">
        <v>0</v>
      </c>
      <c r="AO262">
        <f t="shared" si="24"/>
        <v>0</v>
      </c>
    </row>
    <row r="263" spans="1:42" x14ac:dyDescent="0.3">
      <c r="A263" t="s">
        <v>510</v>
      </c>
      <c r="B263" s="17">
        <v>46010</v>
      </c>
      <c r="C263" s="6" t="s">
        <v>238</v>
      </c>
      <c r="D263" s="6">
        <v>3</v>
      </c>
      <c r="E263">
        <v>1</v>
      </c>
      <c r="F263">
        <v>1</v>
      </c>
      <c r="G263" t="str">
        <f>A263 &amp; "-" &amp; C263 &amp; "-" &amp; D263 &amp; "-" &amp; E263 &amp; "-" &amp; F263</f>
        <v>ID_265-M-3-1-1</v>
      </c>
      <c r="H263" s="4">
        <v>0.4236111111111111</v>
      </c>
      <c r="I263" s="4">
        <v>0.43055555555555558</v>
      </c>
      <c r="J263" s="25">
        <f t="shared" si="21"/>
        <v>10.166666666666666</v>
      </c>
      <c r="K263" s="5">
        <v>30.4</v>
      </c>
      <c r="L263" s="5">
        <v>31</v>
      </c>
      <c r="M263" s="5">
        <f t="shared" si="22"/>
        <v>30.7</v>
      </c>
      <c r="N263">
        <v>26.1</v>
      </c>
      <c r="O263">
        <v>33.700000000000003</v>
      </c>
      <c r="P263">
        <v>37.4</v>
      </c>
      <c r="Q263">
        <f t="shared" si="20"/>
        <v>32.4</v>
      </c>
      <c r="R263" t="s">
        <v>56</v>
      </c>
      <c r="S263" t="s">
        <v>56</v>
      </c>
      <c r="T263">
        <v>0</v>
      </c>
      <c r="U263" t="s">
        <v>26</v>
      </c>
      <c r="V263" t="s">
        <v>26</v>
      </c>
      <c r="W263">
        <v>2</v>
      </c>
      <c r="X263" t="s">
        <v>28</v>
      </c>
      <c r="Y263" t="s">
        <v>28</v>
      </c>
      <c r="Z263">
        <v>1</v>
      </c>
      <c r="AA263">
        <v>0</v>
      </c>
      <c r="AB263">
        <v>0</v>
      </c>
      <c r="AC263">
        <v>0</v>
      </c>
      <c r="AD263">
        <v>0</v>
      </c>
      <c r="AE263">
        <v>0</v>
      </c>
      <c r="AF263">
        <v>0</v>
      </c>
      <c r="AG263">
        <v>1</v>
      </c>
      <c r="AH263">
        <v>1</v>
      </c>
      <c r="AI263">
        <v>1</v>
      </c>
      <c r="AJ263" t="s">
        <v>36</v>
      </c>
      <c r="AK263">
        <v>0</v>
      </c>
      <c r="AL263">
        <f t="shared" si="23"/>
        <v>4</v>
      </c>
      <c r="AM263">
        <v>0</v>
      </c>
      <c r="AN263">
        <v>0</v>
      </c>
      <c r="AO263">
        <f t="shared" si="24"/>
        <v>0</v>
      </c>
    </row>
    <row r="264" spans="1:42" x14ac:dyDescent="0.3">
      <c r="A264" t="s">
        <v>511</v>
      </c>
      <c r="B264" s="17">
        <v>46010</v>
      </c>
      <c r="C264" s="6" t="s">
        <v>238</v>
      </c>
      <c r="D264" s="6">
        <v>3</v>
      </c>
      <c r="E264">
        <v>2</v>
      </c>
      <c r="F264">
        <v>1</v>
      </c>
      <c r="G264" t="str">
        <f>A264 &amp; "-" &amp; C264 &amp; "-" &amp; D264 &amp; "-" &amp; E264 &amp; "-" &amp; F264</f>
        <v>ID_266-M-3-2-1</v>
      </c>
      <c r="H264" s="4">
        <v>0.43263888888888891</v>
      </c>
      <c r="I264" s="4">
        <v>0.43958333333333333</v>
      </c>
      <c r="J264" s="25">
        <f t="shared" si="21"/>
        <v>10.383333333333333</v>
      </c>
      <c r="K264" s="5">
        <v>31</v>
      </c>
      <c r="L264" s="5">
        <v>31.2</v>
      </c>
      <c r="M264" s="5">
        <f t="shared" si="22"/>
        <v>31.1</v>
      </c>
      <c r="N264">
        <v>26.1</v>
      </c>
      <c r="O264">
        <v>33.700000000000003</v>
      </c>
      <c r="P264">
        <v>37.4</v>
      </c>
      <c r="Q264">
        <f t="shared" si="20"/>
        <v>32.4</v>
      </c>
      <c r="R264" t="s">
        <v>56</v>
      </c>
      <c r="S264" t="s">
        <v>56</v>
      </c>
      <c r="T264">
        <v>0</v>
      </c>
      <c r="U264" t="s">
        <v>26</v>
      </c>
      <c r="V264" t="s">
        <v>26</v>
      </c>
      <c r="W264">
        <v>2</v>
      </c>
      <c r="X264" t="s">
        <v>28</v>
      </c>
      <c r="Y264" t="s">
        <v>28</v>
      </c>
      <c r="Z264">
        <v>0</v>
      </c>
      <c r="AA264">
        <v>0</v>
      </c>
      <c r="AB264">
        <v>0</v>
      </c>
      <c r="AC264">
        <v>0</v>
      </c>
      <c r="AD264">
        <v>0</v>
      </c>
      <c r="AE264">
        <v>0</v>
      </c>
      <c r="AF264">
        <v>0</v>
      </c>
      <c r="AG264">
        <v>1</v>
      </c>
      <c r="AH264">
        <v>0</v>
      </c>
      <c r="AI264">
        <v>1</v>
      </c>
      <c r="AJ264" t="s">
        <v>36</v>
      </c>
      <c r="AK264">
        <v>0</v>
      </c>
      <c r="AL264">
        <f t="shared" si="23"/>
        <v>2</v>
      </c>
      <c r="AM264">
        <v>0</v>
      </c>
      <c r="AN264">
        <v>0</v>
      </c>
      <c r="AO264">
        <f t="shared" si="24"/>
        <v>0</v>
      </c>
    </row>
    <row r="265" spans="1:42" x14ac:dyDescent="0.3">
      <c r="A265" t="s">
        <v>512</v>
      </c>
      <c r="B265" s="17">
        <v>46010</v>
      </c>
      <c r="C265" s="6" t="s">
        <v>238</v>
      </c>
      <c r="D265" s="6">
        <v>3</v>
      </c>
      <c r="E265">
        <v>2</v>
      </c>
      <c r="F265">
        <v>1</v>
      </c>
      <c r="G265" t="str">
        <f>A265 &amp; "-" &amp; C265 &amp; "-" &amp; D265 &amp; "-" &amp; E265 &amp; "-" &amp; F265</f>
        <v>ID_267-M-3-2-1</v>
      </c>
      <c r="H265" s="4">
        <v>0.43263888888888891</v>
      </c>
      <c r="I265" s="4">
        <v>0.44027777777777777</v>
      </c>
      <c r="J265" s="25">
        <f t="shared" si="21"/>
        <v>10.383333333333333</v>
      </c>
      <c r="K265" s="5">
        <v>31</v>
      </c>
      <c r="L265" s="5">
        <v>31.2</v>
      </c>
      <c r="M265" s="5">
        <f t="shared" si="22"/>
        <v>31.1</v>
      </c>
      <c r="N265">
        <v>26.1</v>
      </c>
      <c r="O265">
        <v>33.700000000000003</v>
      </c>
      <c r="P265">
        <v>37.4</v>
      </c>
      <c r="Q265">
        <f t="shared" si="20"/>
        <v>32.4</v>
      </c>
      <c r="R265" t="s">
        <v>56</v>
      </c>
      <c r="S265" t="s">
        <v>56</v>
      </c>
      <c r="T265">
        <v>0</v>
      </c>
      <c r="U265" t="s">
        <v>26</v>
      </c>
      <c r="V265" t="s">
        <v>26</v>
      </c>
      <c r="W265">
        <v>2</v>
      </c>
      <c r="X265" t="s">
        <v>28</v>
      </c>
      <c r="Y265" t="s">
        <v>28</v>
      </c>
      <c r="Z265">
        <v>0</v>
      </c>
      <c r="AA265">
        <v>0</v>
      </c>
      <c r="AB265">
        <v>0</v>
      </c>
      <c r="AC265">
        <v>1</v>
      </c>
      <c r="AD265">
        <v>1</v>
      </c>
      <c r="AE265">
        <v>0</v>
      </c>
      <c r="AF265">
        <v>0</v>
      </c>
      <c r="AG265">
        <v>1</v>
      </c>
      <c r="AH265">
        <v>0</v>
      </c>
      <c r="AI265">
        <v>0</v>
      </c>
      <c r="AJ265" t="s">
        <v>36</v>
      </c>
      <c r="AK265">
        <v>0</v>
      </c>
      <c r="AL265">
        <f t="shared" si="23"/>
        <v>3</v>
      </c>
      <c r="AM265">
        <v>0</v>
      </c>
      <c r="AN265">
        <v>0</v>
      </c>
      <c r="AO265">
        <f t="shared" si="24"/>
        <v>0</v>
      </c>
    </row>
    <row r="266" spans="1:42" x14ac:dyDescent="0.3">
      <c r="A266" t="s">
        <v>513</v>
      </c>
      <c r="B266" s="17">
        <v>46010</v>
      </c>
      <c r="C266" s="6" t="s">
        <v>238</v>
      </c>
      <c r="D266" s="6">
        <v>3</v>
      </c>
      <c r="E266">
        <v>3</v>
      </c>
      <c r="F266">
        <v>1</v>
      </c>
      <c r="G266" t="str">
        <f>A266 &amp; "-" &amp; C266 &amp; "-" &amp; D266 &amp; "-" &amp; E266 &amp; "-" &amp; F266</f>
        <v>ID_268-M-3-3-1</v>
      </c>
      <c r="H266" s="4">
        <v>0.44097222222222221</v>
      </c>
      <c r="I266" s="4">
        <v>0.44791666666666669</v>
      </c>
      <c r="J266" s="25">
        <f t="shared" si="21"/>
        <v>10.583333333333334</v>
      </c>
      <c r="K266" s="5">
        <v>31.2</v>
      </c>
      <c r="L266" s="5">
        <v>32.700000000000003</v>
      </c>
      <c r="M266" s="5">
        <f t="shared" si="22"/>
        <v>31.950000000000003</v>
      </c>
      <c r="N266">
        <v>26.1</v>
      </c>
      <c r="O266">
        <v>33.700000000000003</v>
      </c>
      <c r="P266">
        <v>37.4</v>
      </c>
      <c r="Q266">
        <f t="shared" si="20"/>
        <v>32.4</v>
      </c>
      <c r="R266" t="s">
        <v>56</v>
      </c>
      <c r="S266" t="s">
        <v>56</v>
      </c>
      <c r="T266">
        <v>0</v>
      </c>
      <c r="U266" t="s">
        <v>26</v>
      </c>
      <c r="V266" t="s">
        <v>35</v>
      </c>
      <c r="W266">
        <v>2</v>
      </c>
      <c r="X266" t="s">
        <v>28</v>
      </c>
      <c r="Y266" t="s">
        <v>28</v>
      </c>
      <c r="Z266">
        <v>1</v>
      </c>
      <c r="AA266">
        <v>0</v>
      </c>
      <c r="AB266">
        <v>0</v>
      </c>
      <c r="AC266">
        <v>0</v>
      </c>
      <c r="AD266">
        <v>0</v>
      </c>
      <c r="AE266">
        <v>0</v>
      </c>
      <c r="AF266">
        <v>0</v>
      </c>
      <c r="AG266">
        <v>1</v>
      </c>
      <c r="AH266">
        <v>1</v>
      </c>
      <c r="AI266">
        <v>1</v>
      </c>
      <c r="AJ266" t="s">
        <v>36</v>
      </c>
      <c r="AK266">
        <v>0</v>
      </c>
      <c r="AL266">
        <f t="shared" si="23"/>
        <v>4</v>
      </c>
      <c r="AM266">
        <v>0</v>
      </c>
      <c r="AN266">
        <v>0</v>
      </c>
      <c r="AO266">
        <f t="shared" si="24"/>
        <v>0</v>
      </c>
    </row>
    <row r="267" spans="1:42" x14ac:dyDescent="0.3">
      <c r="A267" t="s">
        <v>514</v>
      </c>
      <c r="B267" s="17">
        <v>46010</v>
      </c>
      <c r="C267" s="6" t="s">
        <v>238</v>
      </c>
      <c r="D267" s="6">
        <v>3</v>
      </c>
      <c r="E267">
        <v>3</v>
      </c>
      <c r="F267">
        <v>1</v>
      </c>
      <c r="G267" t="str">
        <f>A267 &amp; "-" &amp; C267 &amp; "-" &amp; D267 &amp; "-" &amp; E267 &amp; "-" &amp; F267</f>
        <v>ID_269-M-3-3-1</v>
      </c>
      <c r="H267" s="4">
        <v>0.44305555555555554</v>
      </c>
      <c r="I267" s="4">
        <v>0.44861111111111113</v>
      </c>
      <c r="J267" s="25">
        <f t="shared" si="21"/>
        <v>10.633333333333333</v>
      </c>
      <c r="K267" s="5">
        <v>31.2</v>
      </c>
      <c r="L267" s="5">
        <v>32.700000000000003</v>
      </c>
      <c r="M267" s="5">
        <f t="shared" si="22"/>
        <v>31.950000000000003</v>
      </c>
      <c r="N267">
        <v>26.1</v>
      </c>
      <c r="O267">
        <v>33.700000000000003</v>
      </c>
      <c r="P267">
        <v>37.4</v>
      </c>
      <c r="Q267">
        <f t="shared" si="20"/>
        <v>32.4</v>
      </c>
      <c r="R267" t="s">
        <v>56</v>
      </c>
      <c r="S267" t="s">
        <v>56</v>
      </c>
      <c r="T267">
        <v>0</v>
      </c>
      <c r="U267" t="s">
        <v>26</v>
      </c>
      <c r="V267" t="s">
        <v>35</v>
      </c>
      <c r="W267">
        <v>2</v>
      </c>
      <c r="X267" t="s">
        <v>28</v>
      </c>
      <c r="Y267" t="s">
        <v>28</v>
      </c>
      <c r="Z267">
        <v>0</v>
      </c>
      <c r="AA267">
        <v>0</v>
      </c>
      <c r="AB267">
        <v>0</v>
      </c>
      <c r="AC267">
        <v>0</v>
      </c>
      <c r="AD267">
        <v>0</v>
      </c>
      <c r="AE267">
        <v>0</v>
      </c>
      <c r="AF267">
        <v>0</v>
      </c>
      <c r="AG267">
        <v>1</v>
      </c>
      <c r="AH267">
        <v>0</v>
      </c>
      <c r="AI267">
        <v>1</v>
      </c>
      <c r="AJ267" t="s">
        <v>36</v>
      </c>
      <c r="AK267">
        <v>0</v>
      </c>
      <c r="AL267">
        <f t="shared" si="23"/>
        <v>2</v>
      </c>
      <c r="AM267">
        <v>0</v>
      </c>
      <c r="AN267">
        <v>0</v>
      </c>
      <c r="AO267">
        <f t="shared" si="24"/>
        <v>0</v>
      </c>
    </row>
    <row r="268" spans="1:42" x14ac:dyDescent="0.3">
      <c r="A268" t="s">
        <v>515</v>
      </c>
      <c r="B268" s="17">
        <v>46010</v>
      </c>
      <c r="C268" s="6" t="s">
        <v>238</v>
      </c>
      <c r="D268" s="6">
        <v>4</v>
      </c>
      <c r="E268">
        <v>1</v>
      </c>
      <c r="F268">
        <v>1</v>
      </c>
      <c r="G268" t="str">
        <f>A268 &amp; "-" &amp; C268 &amp; "-" &amp; D268 &amp; "-" &amp; E268 &amp; "-" &amp; F268</f>
        <v>ID_270-M-4-1-1</v>
      </c>
      <c r="H268" s="4">
        <v>0.46250000000000002</v>
      </c>
      <c r="I268" s="4">
        <v>0.46944444444444444</v>
      </c>
      <c r="J268" s="25">
        <f t="shared" si="21"/>
        <v>11.1</v>
      </c>
      <c r="K268" s="5">
        <v>32.6</v>
      </c>
      <c r="L268" s="5">
        <v>32.6</v>
      </c>
      <c r="M268" s="5">
        <f t="shared" si="22"/>
        <v>32.6</v>
      </c>
      <c r="N268">
        <v>26.1</v>
      </c>
      <c r="O268">
        <v>33.700000000000003</v>
      </c>
      <c r="P268">
        <v>37.4</v>
      </c>
      <c r="Q268">
        <f t="shared" si="20"/>
        <v>32.4</v>
      </c>
      <c r="R268" t="s">
        <v>50</v>
      </c>
      <c r="S268" t="s">
        <v>50</v>
      </c>
      <c r="T268">
        <v>1</v>
      </c>
      <c r="U268" t="s">
        <v>35</v>
      </c>
      <c r="V268" t="s">
        <v>35</v>
      </c>
      <c r="W268">
        <v>3</v>
      </c>
      <c r="X268" t="s">
        <v>28</v>
      </c>
      <c r="Y268" t="s">
        <v>28</v>
      </c>
      <c r="Z268">
        <v>1</v>
      </c>
      <c r="AA268">
        <v>0</v>
      </c>
      <c r="AB268">
        <v>0</v>
      </c>
      <c r="AC268">
        <v>0</v>
      </c>
      <c r="AD268">
        <v>1</v>
      </c>
      <c r="AE268">
        <v>0</v>
      </c>
      <c r="AF268">
        <v>0</v>
      </c>
      <c r="AG268">
        <v>1</v>
      </c>
      <c r="AH268">
        <v>1</v>
      </c>
      <c r="AI268">
        <v>0</v>
      </c>
      <c r="AJ268" t="s">
        <v>59</v>
      </c>
      <c r="AK268">
        <v>1</v>
      </c>
      <c r="AL268">
        <f t="shared" si="23"/>
        <v>5</v>
      </c>
      <c r="AM268">
        <v>1</v>
      </c>
      <c r="AN268">
        <v>0</v>
      </c>
      <c r="AO268">
        <f t="shared" si="24"/>
        <v>1</v>
      </c>
    </row>
    <row r="269" spans="1:42" x14ac:dyDescent="0.3">
      <c r="A269" t="s">
        <v>516</v>
      </c>
      <c r="B269" s="17">
        <v>46010</v>
      </c>
      <c r="C269" s="6" t="s">
        <v>238</v>
      </c>
      <c r="D269" s="6">
        <v>4</v>
      </c>
      <c r="E269">
        <v>1</v>
      </c>
      <c r="F269">
        <v>1</v>
      </c>
      <c r="G269" t="str">
        <f>A269 &amp; "-" &amp; C269 &amp; "-" &amp; D269 &amp; "-" &amp; E269 &amp; "-" &amp; F269</f>
        <v>ID_271-M-4-1-1</v>
      </c>
      <c r="H269" s="4">
        <v>0.46250000000000002</v>
      </c>
      <c r="I269" s="4">
        <v>0.47013888888888888</v>
      </c>
      <c r="J269" s="25">
        <f t="shared" si="21"/>
        <v>11.1</v>
      </c>
      <c r="K269" s="5">
        <v>32.6</v>
      </c>
      <c r="L269" s="5">
        <v>32.6</v>
      </c>
      <c r="M269" s="5">
        <f t="shared" si="22"/>
        <v>32.6</v>
      </c>
      <c r="N269">
        <v>26.1</v>
      </c>
      <c r="O269">
        <v>33.700000000000003</v>
      </c>
      <c r="P269">
        <v>37.4</v>
      </c>
      <c r="Q269">
        <f t="shared" si="20"/>
        <v>32.4</v>
      </c>
      <c r="R269" t="s">
        <v>50</v>
      </c>
      <c r="S269" t="s">
        <v>50</v>
      </c>
      <c r="T269">
        <v>1</v>
      </c>
      <c r="U269" t="s">
        <v>35</v>
      </c>
      <c r="V269" t="s">
        <v>35</v>
      </c>
      <c r="W269">
        <v>3</v>
      </c>
      <c r="X269" t="s">
        <v>28</v>
      </c>
      <c r="Y269" t="s">
        <v>28</v>
      </c>
      <c r="Z269">
        <v>1</v>
      </c>
      <c r="AA269">
        <v>0</v>
      </c>
      <c r="AB269">
        <v>0</v>
      </c>
      <c r="AC269">
        <v>0</v>
      </c>
      <c r="AD269">
        <v>0</v>
      </c>
      <c r="AE269">
        <v>0</v>
      </c>
      <c r="AF269">
        <v>0</v>
      </c>
      <c r="AG269">
        <v>1</v>
      </c>
      <c r="AH269">
        <v>0</v>
      </c>
      <c r="AI269">
        <v>0</v>
      </c>
      <c r="AJ269" t="s">
        <v>36</v>
      </c>
      <c r="AK269">
        <v>0</v>
      </c>
      <c r="AL269">
        <f t="shared" si="23"/>
        <v>2</v>
      </c>
      <c r="AM269">
        <v>0</v>
      </c>
      <c r="AN269">
        <v>0</v>
      </c>
      <c r="AO269">
        <f t="shared" si="24"/>
        <v>0</v>
      </c>
    </row>
    <row r="270" spans="1:42" x14ac:dyDescent="0.3">
      <c r="A270" t="s">
        <v>518</v>
      </c>
      <c r="B270" s="17">
        <v>46010</v>
      </c>
      <c r="C270" s="6" t="s">
        <v>238</v>
      </c>
      <c r="D270" s="6">
        <v>4</v>
      </c>
      <c r="E270">
        <v>1</v>
      </c>
      <c r="F270">
        <v>2</v>
      </c>
      <c r="G270" t="str">
        <f>A270 &amp; "-" &amp; C270 &amp; "-" &amp; D270 &amp; "-" &amp; E270 &amp; "-" &amp; F270</f>
        <v>ID_273-M-4-1-2</v>
      </c>
      <c r="H270" s="4">
        <v>0.47083333333333333</v>
      </c>
      <c r="I270" s="4">
        <v>0.4777777777777778</v>
      </c>
      <c r="J270" s="25">
        <f t="shared" si="21"/>
        <v>11.3</v>
      </c>
      <c r="K270" s="5">
        <v>32.6</v>
      </c>
      <c r="L270" s="5">
        <v>33</v>
      </c>
      <c r="M270" s="5">
        <f t="shared" si="22"/>
        <v>32.799999999999997</v>
      </c>
      <c r="N270">
        <v>26.1</v>
      </c>
      <c r="O270">
        <v>33.700000000000003</v>
      </c>
      <c r="P270">
        <v>37.4</v>
      </c>
      <c r="Q270">
        <f t="shared" si="20"/>
        <v>32.4</v>
      </c>
      <c r="R270" t="s">
        <v>50</v>
      </c>
      <c r="S270" t="s">
        <v>50</v>
      </c>
      <c r="T270">
        <v>1</v>
      </c>
      <c r="U270" t="s">
        <v>35</v>
      </c>
      <c r="V270" t="s">
        <v>26</v>
      </c>
      <c r="W270">
        <v>3</v>
      </c>
      <c r="X270" t="s">
        <v>28</v>
      </c>
      <c r="Y270" t="s">
        <v>28</v>
      </c>
      <c r="Z270">
        <v>1</v>
      </c>
      <c r="AA270">
        <v>0</v>
      </c>
      <c r="AB270">
        <v>0</v>
      </c>
      <c r="AC270">
        <v>0</v>
      </c>
      <c r="AD270">
        <v>1</v>
      </c>
      <c r="AE270">
        <v>0</v>
      </c>
      <c r="AF270">
        <v>0</v>
      </c>
      <c r="AG270">
        <v>1</v>
      </c>
      <c r="AH270">
        <v>0</v>
      </c>
      <c r="AI270">
        <v>1</v>
      </c>
      <c r="AJ270" t="s">
        <v>170</v>
      </c>
      <c r="AK270">
        <v>1</v>
      </c>
      <c r="AL270">
        <f t="shared" si="23"/>
        <v>5</v>
      </c>
      <c r="AM270">
        <v>1</v>
      </c>
      <c r="AN270">
        <v>0</v>
      </c>
      <c r="AO270">
        <f t="shared" si="24"/>
        <v>1</v>
      </c>
    </row>
    <row r="271" spans="1:42" x14ac:dyDescent="0.3">
      <c r="A271" t="s">
        <v>519</v>
      </c>
      <c r="B271" s="17">
        <v>46010</v>
      </c>
      <c r="C271" s="6" t="s">
        <v>238</v>
      </c>
      <c r="D271" s="6">
        <v>4</v>
      </c>
      <c r="E271">
        <v>1</v>
      </c>
      <c r="F271">
        <v>2</v>
      </c>
      <c r="G271" t="str">
        <f>A271 &amp; "-" &amp; C271 &amp; "-" &amp; D271 &amp; "-" &amp; E271 &amp; "-" &amp; F271</f>
        <v>ID_274-M-4-1-2</v>
      </c>
      <c r="H271" s="4">
        <v>0.47083333333333333</v>
      </c>
      <c r="I271" s="4">
        <v>0.47847222222222224</v>
      </c>
      <c r="J271" s="25">
        <f t="shared" si="21"/>
        <v>11.3</v>
      </c>
      <c r="K271" s="5">
        <v>32.6</v>
      </c>
      <c r="L271" s="5">
        <v>33</v>
      </c>
      <c r="M271" s="5">
        <f t="shared" si="22"/>
        <v>32.799999999999997</v>
      </c>
      <c r="N271">
        <v>26.1</v>
      </c>
      <c r="O271">
        <v>33.700000000000003</v>
      </c>
      <c r="P271">
        <v>37.4</v>
      </c>
      <c r="Q271">
        <f t="shared" si="20"/>
        <v>32.4</v>
      </c>
      <c r="R271" t="s">
        <v>50</v>
      </c>
      <c r="S271" t="s">
        <v>56</v>
      </c>
      <c r="T271">
        <v>1</v>
      </c>
      <c r="U271" t="s">
        <v>35</v>
      </c>
      <c r="V271" t="s">
        <v>35</v>
      </c>
      <c r="W271">
        <v>3</v>
      </c>
      <c r="X271" t="s">
        <v>28</v>
      </c>
      <c r="Y271" t="s">
        <v>28</v>
      </c>
      <c r="Z271">
        <v>1</v>
      </c>
      <c r="AA271">
        <v>0</v>
      </c>
      <c r="AB271">
        <v>0</v>
      </c>
      <c r="AC271">
        <v>1</v>
      </c>
      <c r="AD271">
        <v>0</v>
      </c>
      <c r="AE271">
        <v>0</v>
      </c>
      <c r="AF271">
        <v>0</v>
      </c>
      <c r="AG271">
        <v>1</v>
      </c>
      <c r="AH271">
        <v>1</v>
      </c>
      <c r="AI271">
        <v>1</v>
      </c>
      <c r="AJ271" t="s">
        <v>36</v>
      </c>
      <c r="AK271">
        <v>0</v>
      </c>
      <c r="AL271">
        <f t="shared" si="23"/>
        <v>5</v>
      </c>
      <c r="AM271">
        <v>0</v>
      </c>
      <c r="AN271">
        <v>0</v>
      </c>
      <c r="AO271">
        <f t="shared" si="24"/>
        <v>0</v>
      </c>
    </row>
  </sheetData>
  <autoFilter ref="F1:AT271" xr:uid="{71242553-4CED-4441-B34C-9FBB336681CB}">
    <sortState xmlns:xlrd2="http://schemas.microsoft.com/office/spreadsheetml/2017/richdata2" ref="F2:AS271">
      <sortCondition ref="F1:F271"/>
    </sortState>
  </autoFilter>
  <conditionalFormatting sqref="G2:G271">
    <cfRule type="duplicateValues" dxfId="6" priority="1"/>
  </conditionalFormatting>
  <conditionalFormatting sqref="Z2:AI271 AK181:AK271">
    <cfRule type="containsText" dxfId="5" priority="3" operator="containsText" text="1">
      <formula>NOT(ISERROR(SEARCH("1",Z2)))</formula>
    </cfRule>
  </conditionalFormatting>
  <conditionalFormatting sqref="AM2:AN271">
    <cfRule type="containsBlanks" dxfId="4" priority="4">
      <formula>LEN(TRIM(AM2))=0</formula>
    </cfRule>
  </conditionalFormatting>
  <conditionalFormatting sqref="AP1:AP1048576">
    <cfRule type="duplicateValues" dxfId="3" priority="2"/>
  </conditionalFormatting>
  <dataValidations disablePrompts="1" count="6">
    <dataValidation type="list" allowBlank="1" showInputMessage="1" sqref="Z1:AI1" xr:uid="{CFBC71CF-1F7D-F649-A51E-FE61D176E6B9}">
      <formula1>"Yes, No"</formula1>
    </dataValidation>
    <dataValidation type="list" allowBlank="1" showInputMessage="1" showErrorMessage="1" sqref="U1:V1" xr:uid="{B38C54B3-CFF6-1349-862F-C744D40A1B72}">
      <formula1>"No wind, Low-Medium, Medium, Medium-High, High"</formula1>
    </dataValidation>
    <dataValidation type="list" allowBlank="1" showInputMessage="1" showErrorMessage="1" sqref="V133:V141 V154:V157 V160:V271 U2:U101 U103:U271 U102:V102" xr:uid="{5D1D1EED-A5D4-2F4E-A368-96AAE977A074}">
      <formula1>"No wind, No wind-Low, Low, Low-Medium, Medium, Medium-High, High"</formula1>
    </dataValidation>
    <dataValidation type="list" allowBlank="1" showInputMessage="1" sqref="U102 V142:V153 V2:V132 V158:V159" xr:uid="{32D28B67-8891-A844-99B7-1587D9FD3C5E}">
      <formula1>"No wind, No wind-Low, Low, Low-Medium, Medium, Medium-High, High"</formula1>
    </dataValidation>
    <dataValidation type="list" allowBlank="1" showInputMessage="1" sqref="R2:S271" xr:uid="{03C3967A-4C2B-F649-890A-F60AC7628751}">
      <formula1>"No clouds, Few (1-10%), Isolated (11-25%), Scattered (26%-50%), Broken (51%-90%), Overcast (91%-100%)"</formula1>
    </dataValidation>
    <dataValidation type="list" allowBlank="1" showInputMessage="1" sqref="X1:Y271" xr:uid="{930FB122-B681-F74C-87E9-4D55858F425D}">
      <formula1>"Dry, Damp, Wet"</formula1>
    </dataValidation>
  </dataValidations>
  <pageMargins left="0.7" right="0.7" top="0.75" bottom="0.75"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60EA6-C3F4-4000-940B-0C4FC0652414}">
  <dimension ref="A1:D96"/>
  <sheetViews>
    <sheetView topLeftCell="A37" workbookViewId="0">
      <selection activeCell="D37" sqref="D37"/>
    </sheetView>
  </sheetViews>
  <sheetFormatPr defaultRowHeight="14" x14ac:dyDescent="0.3"/>
  <cols>
    <col min="1" max="1" width="91" style="35" customWidth="1"/>
    <col min="3" max="3" width="8.6640625" style="35"/>
    <col min="5" max="16384" width="8.6640625" style="35"/>
  </cols>
  <sheetData>
    <row r="1" spans="1:4" ht="18" x14ac:dyDescent="0.4">
      <c r="A1" s="37" t="s">
        <v>600</v>
      </c>
    </row>
    <row r="2" spans="1:4" ht="42" x14ac:dyDescent="0.3">
      <c r="A2" s="28" t="s">
        <v>601</v>
      </c>
      <c r="B2" s="35"/>
      <c r="D2" s="35"/>
    </row>
    <row r="3" spans="1:4" x14ac:dyDescent="0.3">
      <c r="A3" s="36" t="s">
        <v>602</v>
      </c>
      <c r="B3" s="35"/>
      <c r="D3" s="35"/>
    </row>
    <row r="4" spans="1:4" x14ac:dyDescent="0.3">
      <c r="B4" s="35"/>
      <c r="D4" s="35"/>
    </row>
    <row r="5" spans="1:4" x14ac:dyDescent="0.3">
      <c r="A5" s="36" t="s">
        <v>555</v>
      </c>
      <c r="B5" s="35"/>
      <c r="D5" s="35"/>
    </row>
    <row r="6" spans="1:4" x14ac:dyDescent="0.3">
      <c r="A6" s="35" t="s">
        <v>556</v>
      </c>
      <c r="B6" s="35"/>
      <c r="D6" s="35"/>
    </row>
    <row r="7" spans="1:4" x14ac:dyDescent="0.3">
      <c r="A7" s="35" t="s">
        <v>557</v>
      </c>
      <c r="B7" s="35"/>
      <c r="D7" s="35"/>
    </row>
    <row r="8" spans="1:4" x14ac:dyDescent="0.3">
      <c r="B8" s="35"/>
      <c r="D8" s="35"/>
    </row>
    <row r="9" spans="1:4" x14ac:dyDescent="0.3">
      <c r="A9" s="36" t="s">
        <v>558</v>
      </c>
      <c r="B9" s="35"/>
      <c r="D9" s="35"/>
    </row>
    <row r="10" spans="1:4" x14ac:dyDescent="0.3">
      <c r="A10" s="35" t="s">
        <v>559</v>
      </c>
      <c r="B10" s="35"/>
      <c r="D10" s="35"/>
    </row>
    <row r="11" spans="1:4" x14ac:dyDescent="0.3">
      <c r="A11" s="35" t="s">
        <v>560</v>
      </c>
      <c r="B11" s="35"/>
      <c r="D11" s="35"/>
    </row>
    <row r="12" spans="1:4" x14ac:dyDescent="0.3">
      <c r="B12" s="35"/>
      <c r="D12" s="35"/>
    </row>
    <row r="13" spans="1:4" x14ac:dyDescent="0.3">
      <c r="A13" s="36" t="s">
        <v>561</v>
      </c>
      <c r="B13" s="35"/>
      <c r="D13" s="35"/>
    </row>
    <row r="14" spans="1:4" x14ac:dyDescent="0.3">
      <c r="A14" s="35" t="s">
        <v>562</v>
      </c>
      <c r="B14" s="35"/>
      <c r="D14" s="35"/>
    </row>
    <row r="15" spans="1:4" x14ac:dyDescent="0.3">
      <c r="A15" s="35" t="s">
        <v>563</v>
      </c>
      <c r="B15" s="35"/>
      <c r="D15" s="35"/>
    </row>
    <row r="16" spans="1:4" x14ac:dyDescent="0.3">
      <c r="A16" s="35" t="s">
        <v>564</v>
      </c>
      <c r="B16" s="35"/>
      <c r="D16" s="35"/>
    </row>
    <row r="17" spans="1:4" x14ac:dyDescent="0.3">
      <c r="A17" s="35" t="s">
        <v>565</v>
      </c>
      <c r="B17" s="35"/>
      <c r="D17" s="35"/>
    </row>
    <row r="18" spans="1:4" x14ac:dyDescent="0.3">
      <c r="B18" s="35"/>
      <c r="D18" s="35"/>
    </row>
    <row r="19" spans="1:4" x14ac:dyDescent="0.3">
      <c r="A19" s="36" t="s">
        <v>566</v>
      </c>
      <c r="B19" s="35"/>
      <c r="D19" s="35"/>
    </row>
    <row r="20" spans="1:4" x14ac:dyDescent="0.3">
      <c r="A20" s="35" t="s">
        <v>567</v>
      </c>
      <c r="B20" s="35"/>
      <c r="D20" s="35"/>
    </row>
    <row r="21" spans="1:4" x14ac:dyDescent="0.3">
      <c r="A21" s="35" t="s">
        <v>568</v>
      </c>
      <c r="B21" s="35"/>
      <c r="D21" s="35"/>
    </row>
    <row r="22" spans="1:4" x14ac:dyDescent="0.3">
      <c r="B22" s="35"/>
      <c r="D22" s="35"/>
    </row>
    <row r="23" spans="1:4" x14ac:dyDescent="0.3">
      <c r="A23" s="36" t="s">
        <v>569</v>
      </c>
      <c r="B23" s="35"/>
      <c r="D23" s="35"/>
    </row>
    <row r="24" spans="1:4" x14ac:dyDescent="0.3">
      <c r="A24" s="35" t="s">
        <v>570</v>
      </c>
      <c r="B24" s="35"/>
      <c r="D24" s="35"/>
    </row>
    <row r="25" spans="1:4" x14ac:dyDescent="0.3">
      <c r="A25" s="35" t="s">
        <v>571</v>
      </c>
      <c r="B25" s="35"/>
      <c r="D25" s="35"/>
    </row>
    <row r="26" spans="1:4" x14ac:dyDescent="0.3">
      <c r="A26" s="35" t="s">
        <v>572</v>
      </c>
      <c r="B26" s="35"/>
      <c r="D26" s="35"/>
    </row>
    <row r="27" spans="1:4" x14ac:dyDescent="0.3">
      <c r="A27" s="35" t="s">
        <v>573</v>
      </c>
      <c r="B27" s="35"/>
      <c r="D27" s="35"/>
    </row>
    <row r="28" spans="1:4" x14ac:dyDescent="0.3">
      <c r="A28" s="35" t="s">
        <v>532</v>
      </c>
      <c r="B28" s="35"/>
      <c r="D28" s="35"/>
    </row>
    <row r="29" spans="1:4" x14ac:dyDescent="0.3">
      <c r="A29" s="35" t="s">
        <v>531</v>
      </c>
      <c r="B29" s="35"/>
      <c r="D29" s="35"/>
    </row>
    <row r="30" spans="1:4" x14ac:dyDescent="0.3">
      <c r="A30" s="35" t="s">
        <v>530</v>
      </c>
      <c r="B30" s="35"/>
      <c r="D30" s="35"/>
    </row>
    <row r="31" spans="1:4" x14ac:dyDescent="0.3">
      <c r="A31" s="35" t="s">
        <v>533</v>
      </c>
      <c r="B31" s="35"/>
      <c r="D31" s="35"/>
    </row>
    <row r="32" spans="1:4" x14ac:dyDescent="0.3">
      <c r="B32" s="35"/>
      <c r="D32" s="35"/>
    </row>
    <row r="33" spans="1:4" x14ac:dyDescent="0.3">
      <c r="A33" s="36" t="s">
        <v>574</v>
      </c>
      <c r="B33" s="35"/>
      <c r="D33" s="35"/>
    </row>
    <row r="34" spans="1:4" x14ac:dyDescent="0.3">
      <c r="A34" s="36" t="s">
        <v>575</v>
      </c>
      <c r="B34" s="35"/>
      <c r="D34" s="35"/>
    </row>
    <row r="35" spans="1:4" x14ac:dyDescent="0.3">
      <c r="A35" s="35" t="s">
        <v>576</v>
      </c>
      <c r="B35" s="35"/>
      <c r="D35" s="35"/>
    </row>
    <row r="36" spans="1:4" x14ac:dyDescent="0.3">
      <c r="A36" s="35" t="s">
        <v>577</v>
      </c>
      <c r="B36" s="35"/>
      <c r="D36" s="35"/>
    </row>
    <row r="37" spans="1:4" x14ac:dyDescent="0.3">
      <c r="A37" s="35" t="s">
        <v>578</v>
      </c>
      <c r="B37" s="35"/>
      <c r="D37" s="35"/>
    </row>
    <row r="38" spans="1:4" x14ac:dyDescent="0.3">
      <c r="A38" s="35" t="s">
        <v>579</v>
      </c>
      <c r="B38" s="35"/>
      <c r="D38" s="35"/>
    </row>
    <row r="39" spans="1:4" x14ac:dyDescent="0.3">
      <c r="A39" s="35" t="s">
        <v>580</v>
      </c>
      <c r="B39" s="35"/>
      <c r="D39" s="35"/>
    </row>
    <row r="40" spans="1:4" x14ac:dyDescent="0.3">
      <c r="A40" s="35" t="s">
        <v>581</v>
      </c>
      <c r="B40" s="35"/>
      <c r="D40" s="35"/>
    </row>
    <row r="41" spans="1:4" x14ac:dyDescent="0.3">
      <c r="A41" s="35" t="s">
        <v>582</v>
      </c>
      <c r="B41" s="35"/>
      <c r="D41" s="35"/>
    </row>
    <row r="42" spans="1:4" x14ac:dyDescent="0.3">
      <c r="B42" s="35"/>
      <c r="D42" s="35"/>
    </row>
    <row r="43" spans="1:4" x14ac:dyDescent="0.3">
      <c r="A43" s="36" t="s">
        <v>583</v>
      </c>
      <c r="B43" s="35"/>
      <c r="D43" s="35"/>
    </row>
    <row r="44" spans="1:4" x14ac:dyDescent="0.3">
      <c r="A44" s="35" t="s">
        <v>584</v>
      </c>
      <c r="B44" s="35"/>
      <c r="D44" s="35"/>
    </row>
    <row r="45" spans="1:4" x14ac:dyDescent="0.3">
      <c r="A45" s="35" t="s">
        <v>585</v>
      </c>
      <c r="B45" s="35"/>
      <c r="D45" s="35"/>
    </row>
    <row r="46" spans="1:4" x14ac:dyDescent="0.3">
      <c r="A46" s="35" t="s">
        <v>586</v>
      </c>
      <c r="B46" s="35"/>
      <c r="D46" s="35"/>
    </row>
    <row r="47" spans="1:4" x14ac:dyDescent="0.3">
      <c r="A47" s="35" t="s">
        <v>587</v>
      </c>
      <c r="B47" s="35"/>
      <c r="D47" s="35"/>
    </row>
    <row r="48" spans="1:4" x14ac:dyDescent="0.3">
      <c r="A48" s="35" t="s">
        <v>588</v>
      </c>
      <c r="B48" s="35"/>
      <c r="D48" s="35"/>
    </row>
    <row r="49" spans="1:4" x14ac:dyDescent="0.3">
      <c r="A49" s="35" t="s">
        <v>589</v>
      </c>
      <c r="B49" s="35"/>
      <c r="D49" s="35"/>
    </row>
    <row r="50" spans="1:4" x14ac:dyDescent="0.3">
      <c r="B50" s="35"/>
      <c r="D50" s="35"/>
    </row>
    <row r="51" spans="1:4" x14ac:dyDescent="0.3">
      <c r="A51" s="36" t="s">
        <v>590</v>
      </c>
      <c r="B51" s="35"/>
      <c r="D51" s="35"/>
    </row>
    <row r="52" spans="1:4" x14ac:dyDescent="0.3">
      <c r="A52" s="35" t="s">
        <v>591</v>
      </c>
      <c r="B52" s="35"/>
      <c r="D52" s="35"/>
    </row>
    <row r="53" spans="1:4" x14ac:dyDescent="0.3">
      <c r="A53" s="35" t="s">
        <v>592</v>
      </c>
      <c r="B53" s="35"/>
      <c r="D53" s="35"/>
    </row>
    <row r="54" spans="1:4" x14ac:dyDescent="0.3">
      <c r="A54" s="35" t="s">
        <v>593</v>
      </c>
      <c r="B54" s="35"/>
      <c r="D54" s="35"/>
    </row>
    <row r="55" spans="1:4" x14ac:dyDescent="0.3">
      <c r="B55" s="35"/>
      <c r="D55" s="35"/>
    </row>
    <row r="56" spans="1:4" x14ac:dyDescent="0.3">
      <c r="A56" s="36" t="s">
        <v>594</v>
      </c>
      <c r="B56" s="35"/>
      <c r="D56" s="35"/>
    </row>
    <row r="57" spans="1:4" x14ac:dyDescent="0.3">
      <c r="A57" s="35" t="s">
        <v>595</v>
      </c>
      <c r="B57" s="35"/>
      <c r="D57" s="35"/>
    </row>
    <row r="58" spans="1:4" x14ac:dyDescent="0.3">
      <c r="A58" s="35" t="s">
        <v>359</v>
      </c>
      <c r="B58" s="35"/>
      <c r="D58" s="35"/>
    </row>
    <row r="59" spans="1:4" x14ac:dyDescent="0.3">
      <c r="A59" s="35" t="s">
        <v>365</v>
      </c>
      <c r="B59" s="35"/>
      <c r="D59" s="35"/>
    </row>
    <row r="60" spans="1:4" x14ac:dyDescent="0.3">
      <c r="A60" s="35" t="s">
        <v>517</v>
      </c>
      <c r="B60" s="35"/>
      <c r="D60" s="35"/>
    </row>
    <row r="61" spans="1:4" x14ac:dyDescent="0.3">
      <c r="A61" s="35" t="s">
        <v>596</v>
      </c>
      <c r="B61" s="35"/>
      <c r="D61" s="35"/>
    </row>
    <row r="62" spans="1:4" x14ac:dyDescent="0.3">
      <c r="B62" s="35"/>
      <c r="D62" s="35"/>
    </row>
    <row r="63" spans="1:4" x14ac:dyDescent="0.3">
      <c r="A63" s="36" t="s">
        <v>597</v>
      </c>
      <c r="B63" s="35"/>
      <c r="D63" s="35"/>
    </row>
    <row r="64" spans="1:4" x14ac:dyDescent="0.3">
      <c r="A64" s="35" t="s">
        <v>598</v>
      </c>
      <c r="B64" s="35"/>
      <c r="D64" s="35"/>
    </row>
    <row r="65" spans="1:4" x14ac:dyDescent="0.3">
      <c r="A65" s="35" t="s">
        <v>599</v>
      </c>
      <c r="B65" s="35"/>
      <c r="D65" s="35"/>
    </row>
    <row r="66" spans="1:4" x14ac:dyDescent="0.3">
      <c r="B66" s="35"/>
      <c r="D66" s="35"/>
    </row>
    <row r="67" spans="1:4" x14ac:dyDescent="0.3">
      <c r="B67" s="35"/>
      <c r="D67" s="35"/>
    </row>
    <row r="68" spans="1:4" x14ac:dyDescent="0.3">
      <c r="B68" s="35"/>
      <c r="D68" s="35"/>
    </row>
    <row r="69" spans="1:4" x14ac:dyDescent="0.3">
      <c r="B69" s="35"/>
      <c r="D69" s="35"/>
    </row>
    <row r="70" spans="1:4" x14ac:dyDescent="0.3">
      <c r="B70" s="35"/>
      <c r="D70" s="35"/>
    </row>
    <row r="71" spans="1:4" x14ac:dyDescent="0.3">
      <c r="B71" s="35"/>
      <c r="D71" s="35"/>
    </row>
    <row r="72" spans="1:4" x14ac:dyDescent="0.3">
      <c r="B72" s="35"/>
      <c r="D72" s="35"/>
    </row>
    <row r="73" spans="1:4" x14ac:dyDescent="0.3">
      <c r="B73" s="35"/>
      <c r="D73" s="35"/>
    </row>
    <row r="74" spans="1:4" x14ac:dyDescent="0.3">
      <c r="B74" s="35"/>
      <c r="D74" s="35"/>
    </row>
    <row r="75" spans="1:4" x14ac:dyDescent="0.3">
      <c r="B75" s="35"/>
      <c r="D75" s="35"/>
    </row>
    <row r="76" spans="1:4" x14ac:dyDescent="0.3">
      <c r="B76" s="35"/>
      <c r="D76" s="35"/>
    </row>
    <row r="77" spans="1:4" x14ac:dyDescent="0.3">
      <c r="B77" s="35"/>
      <c r="D77" s="35"/>
    </row>
    <row r="78" spans="1:4" x14ac:dyDescent="0.3">
      <c r="B78" s="35"/>
      <c r="D78" s="35"/>
    </row>
    <row r="79" spans="1:4" x14ac:dyDescent="0.3">
      <c r="B79" s="35"/>
      <c r="D79" s="35"/>
    </row>
    <row r="80" spans="1:4" x14ac:dyDescent="0.3">
      <c r="B80" s="35"/>
      <c r="D80" s="35"/>
    </row>
    <row r="81" s="35" customFormat="1" x14ac:dyDescent="0.3"/>
    <row r="82" s="35" customFormat="1" x14ac:dyDescent="0.3"/>
    <row r="83" s="35" customFormat="1" x14ac:dyDescent="0.3"/>
    <row r="84" s="35" customFormat="1" x14ac:dyDescent="0.3"/>
    <row r="85" s="35" customFormat="1" x14ac:dyDescent="0.3"/>
    <row r="86" s="35" customFormat="1" x14ac:dyDescent="0.3"/>
    <row r="87" s="35" customFormat="1" x14ac:dyDescent="0.3"/>
    <row r="88" s="35" customFormat="1" x14ac:dyDescent="0.3"/>
    <row r="89" s="35" customFormat="1" x14ac:dyDescent="0.3"/>
    <row r="90" s="35" customFormat="1" x14ac:dyDescent="0.3"/>
    <row r="91" s="35" customFormat="1" x14ac:dyDescent="0.3"/>
    <row r="92" s="35" customFormat="1" x14ac:dyDescent="0.3"/>
    <row r="93" s="35" customFormat="1" x14ac:dyDescent="0.3"/>
    <row r="94" s="35" customFormat="1" x14ac:dyDescent="0.3"/>
    <row r="95" s="35" customFormat="1" x14ac:dyDescent="0.3"/>
    <row r="96" s="35" customFormat="1" x14ac:dyDescent="0.3"/>
  </sheetData>
  <pageMargins left="0.7" right="0.7" top="0.75" bottom="0.75" header="0.3" footer="0.3"/>
  <pageSetup paperSize="9"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C0476-56C0-435C-B4D6-1B72F8E326A6}">
  <dimension ref="A1:AI275"/>
  <sheetViews>
    <sheetView topLeftCell="C262" workbookViewId="0">
      <selection activeCell="H279" sqref="H279"/>
    </sheetView>
  </sheetViews>
  <sheetFormatPr defaultColWidth="10.6640625" defaultRowHeight="14" x14ac:dyDescent="0.3"/>
  <sheetData>
    <row r="1" spans="1:35" ht="16" x14ac:dyDescent="0.4">
      <c r="A1" t="s">
        <v>520</v>
      </c>
      <c r="B1" s="18" t="s">
        <v>521</v>
      </c>
      <c r="C1" s="10" t="s">
        <v>239</v>
      </c>
      <c r="D1" s="10" t="s">
        <v>240</v>
      </c>
      <c r="E1" s="10" t="s">
        <v>0</v>
      </c>
      <c r="F1" s="10" t="s">
        <v>1</v>
      </c>
      <c r="G1" s="11" t="s">
        <v>224</v>
      </c>
      <c r="H1" s="12" t="s">
        <v>2</v>
      </c>
      <c r="I1" s="12" t="s">
        <v>3</v>
      </c>
      <c r="J1" s="13" t="s">
        <v>4</v>
      </c>
      <c r="K1" s="13" t="s">
        <v>5</v>
      </c>
      <c r="L1" s="13" t="s">
        <v>6</v>
      </c>
      <c r="M1" s="13" t="s">
        <v>7</v>
      </c>
      <c r="N1" s="13" t="s">
        <v>10</v>
      </c>
      <c r="O1" s="13" t="s">
        <v>11</v>
      </c>
      <c r="P1" s="13" t="s">
        <v>8</v>
      </c>
      <c r="Q1" s="13" t="s">
        <v>9</v>
      </c>
      <c r="R1" s="11" t="s">
        <v>225</v>
      </c>
      <c r="S1" s="14" t="s">
        <v>12</v>
      </c>
      <c r="T1" s="14" t="s">
        <v>13</v>
      </c>
      <c r="U1" s="14" t="s">
        <v>14</v>
      </c>
      <c r="V1" s="14" t="s">
        <v>15</v>
      </c>
      <c r="W1" s="14" t="s">
        <v>16</v>
      </c>
      <c r="X1" s="14" t="s">
        <v>17</v>
      </c>
      <c r="Y1" s="14" t="s">
        <v>18</v>
      </c>
      <c r="Z1" s="14" t="s">
        <v>19</v>
      </c>
      <c r="AA1" s="14" t="s">
        <v>20</v>
      </c>
      <c r="AB1" s="14" t="s">
        <v>21</v>
      </c>
      <c r="AC1" s="14" t="s">
        <v>22</v>
      </c>
      <c r="AD1" s="15" t="s">
        <v>23</v>
      </c>
      <c r="AE1" s="15" t="s">
        <v>24</v>
      </c>
      <c r="AF1" s="16" t="s">
        <v>39</v>
      </c>
      <c r="AG1" s="16" t="s">
        <v>226</v>
      </c>
      <c r="AH1" s="16" t="s">
        <v>227</v>
      </c>
      <c r="AI1" s="16" t="s">
        <v>228</v>
      </c>
    </row>
    <row r="2" spans="1:35" x14ac:dyDescent="0.3">
      <c r="A2" t="s">
        <v>246</v>
      </c>
      <c r="B2" s="17">
        <v>45997</v>
      </c>
      <c r="C2" s="6" t="s">
        <v>236</v>
      </c>
      <c r="D2" s="6">
        <v>4</v>
      </c>
      <c r="E2">
        <v>1</v>
      </c>
      <c r="F2">
        <v>1</v>
      </c>
      <c r="G2" s="1"/>
      <c r="H2" s="4">
        <v>0.40902777777777777</v>
      </c>
      <c r="I2" s="4">
        <v>0.41597222222222224</v>
      </c>
      <c r="J2" s="5">
        <v>29.9</v>
      </c>
      <c r="K2" s="5">
        <v>30.5</v>
      </c>
      <c r="L2" t="s">
        <v>50</v>
      </c>
      <c r="M2" t="s">
        <v>50</v>
      </c>
      <c r="N2" t="s">
        <v>35</v>
      </c>
      <c r="O2" s="2" t="s">
        <v>92</v>
      </c>
      <c r="P2" t="s">
        <v>28</v>
      </c>
      <c r="Q2" t="s">
        <v>28</v>
      </c>
      <c r="R2" s="1"/>
      <c r="S2">
        <v>1</v>
      </c>
      <c r="T2">
        <v>0</v>
      </c>
      <c r="U2">
        <v>0</v>
      </c>
      <c r="V2">
        <v>1</v>
      </c>
      <c r="W2">
        <v>1</v>
      </c>
      <c r="X2">
        <v>0</v>
      </c>
      <c r="Y2">
        <v>0</v>
      </c>
      <c r="Z2">
        <v>1</v>
      </c>
      <c r="AA2">
        <v>1</v>
      </c>
      <c r="AB2">
        <v>1</v>
      </c>
      <c r="AD2">
        <v>0</v>
      </c>
      <c r="AE2">
        <v>0</v>
      </c>
    </row>
    <row r="3" spans="1:35" x14ac:dyDescent="0.3">
      <c r="A3" t="s">
        <v>247</v>
      </c>
      <c r="B3" s="17">
        <v>46002</v>
      </c>
      <c r="C3" s="6" t="s">
        <v>237</v>
      </c>
      <c r="D3" s="6">
        <v>1</v>
      </c>
      <c r="E3">
        <v>1</v>
      </c>
      <c r="F3">
        <v>1</v>
      </c>
      <c r="G3" s="3"/>
      <c r="H3" s="4">
        <v>0.40902777777777777</v>
      </c>
      <c r="I3" s="4">
        <v>0.41666666666666669</v>
      </c>
      <c r="J3" s="5">
        <v>18.100000000000001</v>
      </c>
      <c r="K3" s="5">
        <v>18.2</v>
      </c>
      <c r="L3" t="s">
        <v>25</v>
      </c>
      <c r="M3" t="s">
        <v>25</v>
      </c>
      <c r="N3" t="s">
        <v>26</v>
      </c>
      <c r="O3" t="s">
        <v>26</v>
      </c>
      <c r="P3" t="s">
        <v>28</v>
      </c>
      <c r="Q3" t="s">
        <v>28</v>
      </c>
      <c r="R3" s="1"/>
      <c r="S3">
        <v>1</v>
      </c>
      <c r="T3">
        <v>0</v>
      </c>
      <c r="U3">
        <v>1</v>
      </c>
      <c r="V3">
        <v>0</v>
      </c>
      <c r="W3">
        <v>1</v>
      </c>
      <c r="X3">
        <v>0</v>
      </c>
      <c r="Y3">
        <v>0</v>
      </c>
      <c r="Z3">
        <v>0</v>
      </c>
      <c r="AA3">
        <v>0</v>
      </c>
      <c r="AB3">
        <v>1</v>
      </c>
      <c r="AC3" t="s">
        <v>206</v>
      </c>
      <c r="AD3">
        <v>0</v>
      </c>
      <c r="AE3">
        <v>0</v>
      </c>
    </row>
    <row r="4" spans="1:35" x14ac:dyDescent="0.3">
      <c r="A4" t="s">
        <v>248</v>
      </c>
      <c r="B4" s="17">
        <v>46002</v>
      </c>
      <c r="C4" s="6" t="s">
        <v>237</v>
      </c>
      <c r="D4" s="6">
        <v>1</v>
      </c>
      <c r="E4">
        <v>1</v>
      </c>
      <c r="F4">
        <v>1</v>
      </c>
      <c r="G4" s="1"/>
      <c r="H4" s="4">
        <v>0.40902777777777777</v>
      </c>
      <c r="I4" s="4">
        <v>0.41666666666666669</v>
      </c>
      <c r="J4" s="5">
        <v>18.100000000000001</v>
      </c>
      <c r="K4" s="5">
        <v>18.2</v>
      </c>
      <c r="L4" t="s">
        <v>25</v>
      </c>
      <c r="M4" t="s">
        <v>25</v>
      </c>
      <c r="N4" t="s">
        <v>26</v>
      </c>
      <c r="O4" t="s">
        <v>26</v>
      </c>
      <c r="P4" t="s">
        <v>28</v>
      </c>
      <c r="Q4" t="s">
        <v>28</v>
      </c>
      <c r="R4" s="1"/>
      <c r="S4">
        <v>0</v>
      </c>
      <c r="T4">
        <v>0</v>
      </c>
      <c r="U4">
        <v>1</v>
      </c>
      <c r="V4">
        <v>0</v>
      </c>
      <c r="W4">
        <v>0</v>
      </c>
      <c r="X4">
        <v>0</v>
      </c>
      <c r="Y4">
        <v>0</v>
      </c>
      <c r="Z4">
        <v>1</v>
      </c>
      <c r="AA4">
        <v>0</v>
      </c>
      <c r="AB4">
        <v>1</v>
      </c>
      <c r="AC4" t="s">
        <v>41</v>
      </c>
      <c r="AD4">
        <v>0</v>
      </c>
      <c r="AE4">
        <v>0</v>
      </c>
    </row>
    <row r="5" spans="1:35" x14ac:dyDescent="0.3">
      <c r="A5" t="s">
        <v>249</v>
      </c>
      <c r="B5" s="17">
        <v>46010</v>
      </c>
      <c r="C5" s="6" t="s">
        <v>238</v>
      </c>
      <c r="D5" s="6">
        <v>2</v>
      </c>
      <c r="E5">
        <v>1</v>
      </c>
      <c r="F5">
        <v>1</v>
      </c>
      <c r="G5" s="1"/>
      <c r="H5" s="4">
        <v>0.41319444444444442</v>
      </c>
      <c r="I5" s="4">
        <v>0.4201388888888889</v>
      </c>
      <c r="J5" s="5">
        <v>29.7</v>
      </c>
      <c r="K5" s="5">
        <v>30.4</v>
      </c>
      <c r="L5" t="s">
        <v>56</v>
      </c>
      <c r="M5" t="s">
        <v>56</v>
      </c>
      <c r="N5" t="s">
        <v>26</v>
      </c>
      <c r="O5" t="s">
        <v>26</v>
      </c>
      <c r="P5" t="s">
        <v>28</v>
      </c>
      <c r="Q5" t="s">
        <v>28</v>
      </c>
      <c r="R5" s="1"/>
      <c r="S5">
        <v>1</v>
      </c>
      <c r="T5">
        <v>0</v>
      </c>
      <c r="U5">
        <v>0</v>
      </c>
      <c r="V5">
        <v>0</v>
      </c>
      <c r="W5">
        <v>1</v>
      </c>
      <c r="X5">
        <v>0</v>
      </c>
      <c r="Y5">
        <v>0</v>
      </c>
      <c r="Z5">
        <v>1</v>
      </c>
      <c r="AA5">
        <v>0</v>
      </c>
      <c r="AB5">
        <v>1</v>
      </c>
      <c r="AD5">
        <v>0</v>
      </c>
      <c r="AE5">
        <v>0</v>
      </c>
    </row>
    <row r="6" spans="1:35" x14ac:dyDescent="0.3">
      <c r="A6" t="s">
        <v>250</v>
      </c>
      <c r="B6" s="17">
        <v>46010</v>
      </c>
      <c r="C6" s="6" t="s">
        <v>238</v>
      </c>
      <c r="D6" s="6">
        <v>2</v>
      </c>
      <c r="E6">
        <v>1</v>
      </c>
      <c r="F6">
        <v>1</v>
      </c>
      <c r="G6" s="1"/>
      <c r="H6" s="4">
        <v>0.41319444444444442</v>
      </c>
      <c r="I6" s="4">
        <v>0.42083333333333334</v>
      </c>
      <c r="J6" s="5">
        <v>29.7</v>
      </c>
      <c r="K6" s="5">
        <v>30.4</v>
      </c>
      <c r="L6" t="s">
        <v>56</v>
      </c>
      <c r="M6" t="s">
        <v>56</v>
      </c>
      <c r="N6" t="s">
        <v>26</v>
      </c>
      <c r="O6" t="s">
        <v>26</v>
      </c>
      <c r="P6" t="s">
        <v>28</v>
      </c>
      <c r="Q6" t="s">
        <v>28</v>
      </c>
      <c r="R6" s="1"/>
      <c r="S6">
        <v>1</v>
      </c>
      <c r="T6">
        <v>0</v>
      </c>
      <c r="U6">
        <v>0</v>
      </c>
      <c r="V6">
        <v>0</v>
      </c>
      <c r="W6">
        <v>1</v>
      </c>
      <c r="X6">
        <v>0</v>
      </c>
      <c r="Y6">
        <v>0</v>
      </c>
      <c r="Z6">
        <v>1</v>
      </c>
      <c r="AA6">
        <v>0</v>
      </c>
      <c r="AB6">
        <v>1</v>
      </c>
      <c r="AC6" t="s">
        <v>59</v>
      </c>
      <c r="AD6">
        <v>0</v>
      </c>
      <c r="AE6">
        <v>0</v>
      </c>
    </row>
    <row r="7" spans="1:35" x14ac:dyDescent="0.3">
      <c r="A7" t="s">
        <v>251</v>
      </c>
      <c r="B7" s="17">
        <v>46002</v>
      </c>
      <c r="C7" s="6" t="s">
        <v>237</v>
      </c>
      <c r="D7" s="6">
        <v>1</v>
      </c>
      <c r="E7">
        <v>1</v>
      </c>
      <c r="F7">
        <v>2</v>
      </c>
      <c r="G7" s="1"/>
      <c r="H7" s="4">
        <v>0.41805555555555557</v>
      </c>
      <c r="I7" s="4">
        <v>0.42499999999999999</v>
      </c>
      <c r="J7" s="5">
        <v>18.2</v>
      </c>
      <c r="K7" s="5">
        <v>18.399999999999999</v>
      </c>
      <c r="L7" t="s">
        <v>25</v>
      </c>
      <c r="M7" t="s">
        <v>25</v>
      </c>
      <c r="N7" t="s">
        <v>26</v>
      </c>
      <c r="O7" t="s">
        <v>31</v>
      </c>
      <c r="P7" t="s">
        <v>28</v>
      </c>
      <c r="Q7" t="s">
        <v>28</v>
      </c>
      <c r="R7" s="1"/>
      <c r="S7">
        <v>1</v>
      </c>
      <c r="T7">
        <v>0</v>
      </c>
      <c r="U7">
        <v>1</v>
      </c>
      <c r="V7">
        <v>1</v>
      </c>
      <c r="W7">
        <v>1</v>
      </c>
      <c r="X7">
        <v>0</v>
      </c>
      <c r="Y7">
        <v>0</v>
      </c>
      <c r="Z7">
        <v>1</v>
      </c>
      <c r="AA7">
        <v>1</v>
      </c>
      <c r="AB7">
        <v>1</v>
      </c>
      <c r="AC7" t="s">
        <v>45</v>
      </c>
      <c r="AD7">
        <v>0</v>
      </c>
      <c r="AE7">
        <v>0</v>
      </c>
    </row>
    <row r="8" spans="1:35" x14ac:dyDescent="0.3">
      <c r="A8" t="s">
        <v>252</v>
      </c>
      <c r="B8" s="17">
        <v>46002</v>
      </c>
      <c r="C8" s="6" t="s">
        <v>237</v>
      </c>
      <c r="D8" s="6">
        <v>1</v>
      </c>
      <c r="E8">
        <v>1</v>
      </c>
      <c r="F8">
        <v>2</v>
      </c>
      <c r="G8" s="3"/>
      <c r="H8" s="4">
        <v>0.41805555555555557</v>
      </c>
      <c r="I8" s="4">
        <v>0.42499999999999999</v>
      </c>
      <c r="J8" s="5">
        <v>18.2</v>
      </c>
      <c r="K8" s="5">
        <v>18.399999999999999</v>
      </c>
      <c r="L8" t="s">
        <v>25</v>
      </c>
      <c r="M8" t="s">
        <v>25</v>
      </c>
      <c r="N8" t="s">
        <v>26</v>
      </c>
      <c r="O8" t="s">
        <v>31</v>
      </c>
      <c r="P8" t="s">
        <v>28</v>
      </c>
      <c r="Q8" t="s">
        <v>28</v>
      </c>
      <c r="R8" s="1"/>
      <c r="S8">
        <v>1</v>
      </c>
      <c r="T8">
        <v>0</v>
      </c>
      <c r="U8">
        <v>1</v>
      </c>
      <c r="V8">
        <v>0</v>
      </c>
      <c r="W8">
        <v>1</v>
      </c>
      <c r="X8">
        <v>0</v>
      </c>
      <c r="Y8">
        <v>0</v>
      </c>
      <c r="Z8">
        <v>1</v>
      </c>
      <c r="AA8">
        <v>0</v>
      </c>
      <c r="AB8">
        <v>1</v>
      </c>
      <c r="AC8" t="s">
        <v>34</v>
      </c>
      <c r="AD8">
        <v>0</v>
      </c>
      <c r="AE8">
        <v>0</v>
      </c>
    </row>
    <row r="9" spans="1:35" x14ac:dyDescent="0.3">
      <c r="A9" t="s">
        <v>253</v>
      </c>
      <c r="B9" s="17">
        <v>46005</v>
      </c>
      <c r="C9" s="6" t="s">
        <v>236</v>
      </c>
      <c r="D9" s="6">
        <v>1</v>
      </c>
      <c r="E9">
        <v>1</v>
      </c>
      <c r="F9">
        <v>1</v>
      </c>
      <c r="G9" s="1"/>
      <c r="H9" s="4">
        <v>0.41805555555555557</v>
      </c>
      <c r="I9" s="4">
        <v>0.42499999999999999</v>
      </c>
      <c r="J9" s="5">
        <v>19.7</v>
      </c>
      <c r="K9" s="5">
        <v>20.9</v>
      </c>
      <c r="L9" t="s">
        <v>27</v>
      </c>
      <c r="M9" t="s">
        <v>27</v>
      </c>
      <c r="N9" t="s">
        <v>26</v>
      </c>
      <c r="O9" t="s">
        <v>26</v>
      </c>
      <c r="P9" t="s">
        <v>28</v>
      </c>
      <c r="Q9" t="s">
        <v>28</v>
      </c>
      <c r="R9" s="1"/>
      <c r="S9">
        <v>1</v>
      </c>
      <c r="T9">
        <v>0</v>
      </c>
      <c r="U9">
        <v>1</v>
      </c>
      <c r="V9">
        <v>1</v>
      </c>
      <c r="W9">
        <v>1</v>
      </c>
      <c r="X9">
        <v>0</v>
      </c>
      <c r="Y9">
        <v>0</v>
      </c>
      <c r="Z9">
        <v>1</v>
      </c>
      <c r="AA9">
        <v>0</v>
      </c>
      <c r="AB9">
        <v>0</v>
      </c>
      <c r="AC9" t="s">
        <v>29</v>
      </c>
      <c r="AD9">
        <v>0</v>
      </c>
      <c r="AE9">
        <v>0</v>
      </c>
    </row>
    <row r="10" spans="1:35" x14ac:dyDescent="0.3">
      <c r="A10" t="s">
        <v>254</v>
      </c>
      <c r="B10" s="17">
        <v>45997</v>
      </c>
      <c r="C10" s="6" t="s">
        <v>236</v>
      </c>
      <c r="D10" s="6">
        <v>4</v>
      </c>
      <c r="E10">
        <v>2</v>
      </c>
      <c r="F10">
        <v>1</v>
      </c>
      <c r="G10" s="1"/>
      <c r="H10" s="4">
        <v>0.41875000000000001</v>
      </c>
      <c r="I10" s="4">
        <v>0.42638888888888887</v>
      </c>
      <c r="J10" s="5">
        <v>30.5</v>
      </c>
      <c r="K10" s="5">
        <v>31</v>
      </c>
      <c r="L10" t="s">
        <v>50</v>
      </c>
      <c r="M10" t="s">
        <v>50</v>
      </c>
      <c r="N10" t="s">
        <v>35</v>
      </c>
      <c r="O10" s="2" t="s">
        <v>92</v>
      </c>
      <c r="P10" t="s">
        <v>28</v>
      </c>
      <c r="Q10" t="s">
        <v>28</v>
      </c>
      <c r="R10" s="1"/>
      <c r="S10">
        <v>1</v>
      </c>
      <c r="T10">
        <v>0</v>
      </c>
      <c r="U10">
        <v>0</v>
      </c>
      <c r="V10">
        <v>1</v>
      </c>
      <c r="W10">
        <v>1</v>
      </c>
      <c r="X10">
        <v>0</v>
      </c>
      <c r="Y10">
        <v>1</v>
      </c>
      <c r="Z10">
        <v>1</v>
      </c>
      <c r="AA10">
        <v>0</v>
      </c>
      <c r="AB10">
        <v>1</v>
      </c>
      <c r="AC10" t="s">
        <v>214</v>
      </c>
      <c r="AD10">
        <v>0</v>
      </c>
      <c r="AE10">
        <v>0</v>
      </c>
    </row>
    <row r="11" spans="1:35" x14ac:dyDescent="0.3">
      <c r="A11" t="s">
        <v>255</v>
      </c>
      <c r="B11" s="17">
        <v>46001</v>
      </c>
      <c r="C11" s="6" t="s">
        <v>238</v>
      </c>
      <c r="D11" s="6">
        <v>2</v>
      </c>
      <c r="E11">
        <v>1</v>
      </c>
      <c r="F11">
        <v>1</v>
      </c>
      <c r="G11" s="1"/>
      <c r="H11" s="4">
        <v>0.41875000000000001</v>
      </c>
      <c r="I11" s="4">
        <v>0.42569444444444443</v>
      </c>
      <c r="J11" s="5">
        <v>19.399999999999999</v>
      </c>
      <c r="K11" s="5">
        <v>19.399999999999999</v>
      </c>
      <c r="L11" t="s">
        <v>32</v>
      </c>
      <c r="M11" t="s">
        <v>50</v>
      </c>
      <c r="N11" t="s">
        <v>37</v>
      </c>
      <c r="O11" t="s">
        <v>26</v>
      </c>
      <c r="P11" t="s">
        <v>28</v>
      </c>
      <c r="Q11" t="s">
        <v>28</v>
      </c>
      <c r="R11" s="1"/>
      <c r="S11">
        <v>1</v>
      </c>
      <c r="T11">
        <v>0</v>
      </c>
      <c r="U11">
        <v>1</v>
      </c>
      <c r="V11">
        <v>1</v>
      </c>
      <c r="W11">
        <v>0</v>
      </c>
      <c r="X11">
        <v>0</v>
      </c>
      <c r="Y11">
        <v>0</v>
      </c>
      <c r="Z11">
        <v>1</v>
      </c>
      <c r="AA11">
        <v>0</v>
      </c>
      <c r="AB11">
        <v>1</v>
      </c>
      <c r="AC11" t="s">
        <v>194</v>
      </c>
      <c r="AD11">
        <v>0</v>
      </c>
      <c r="AE11">
        <v>0</v>
      </c>
    </row>
    <row r="12" spans="1:35" x14ac:dyDescent="0.3">
      <c r="A12" t="s">
        <v>256</v>
      </c>
      <c r="B12" s="17">
        <v>46001</v>
      </c>
      <c r="C12" s="6" t="s">
        <v>238</v>
      </c>
      <c r="D12" s="6">
        <v>2</v>
      </c>
      <c r="E12">
        <v>1</v>
      </c>
      <c r="F12">
        <v>1</v>
      </c>
      <c r="G12" s="1"/>
      <c r="H12" s="4">
        <v>0.41875000000000001</v>
      </c>
      <c r="I12" s="4">
        <v>0.42569444444444443</v>
      </c>
      <c r="J12" s="5">
        <v>19.399999999999999</v>
      </c>
      <c r="K12" s="5">
        <v>19.399999999999999</v>
      </c>
      <c r="L12" t="s">
        <v>32</v>
      </c>
      <c r="M12" t="s">
        <v>50</v>
      </c>
      <c r="N12" t="s">
        <v>37</v>
      </c>
      <c r="O12" t="s">
        <v>26</v>
      </c>
      <c r="P12" t="s">
        <v>28</v>
      </c>
      <c r="Q12" t="s">
        <v>28</v>
      </c>
      <c r="R12" s="1"/>
      <c r="S12">
        <v>1</v>
      </c>
      <c r="T12">
        <v>0</v>
      </c>
      <c r="U12">
        <v>1</v>
      </c>
      <c r="V12">
        <v>1</v>
      </c>
      <c r="W12">
        <v>1</v>
      </c>
      <c r="X12">
        <v>0</v>
      </c>
      <c r="Y12">
        <v>0</v>
      </c>
      <c r="Z12">
        <v>1</v>
      </c>
      <c r="AA12">
        <v>1</v>
      </c>
      <c r="AB12">
        <v>1</v>
      </c>
      <c r="AD12">
        <v>0</v>
      </c>
      <c r="AE12">
        <v>0</v>
      </c>
    </row>
    <row r="13" spans="1:35" x14ac:dyDescent="0.3">
      <c r="A13" t="s">
        <v>257</v>
      </c>
      <c r="B13" s="17">
        <v>46004</v>
      </c>
      <c r="C13" s="6" t="s">
        <v>238</v>
      </c>
      <c r="D13" s="6" t="s">
        <v>244</v>
      </c>
      <c r="E13">
        <v>1</v>
      </c>
      <c r="F13">
        <v>1</v>
      </c>
      <c r="G13" s="1"/>
      <c r="H13" s="4">
        <v>0.41875000000000001</v>
      </c>
      <c r="I13" s="4">
        <v>0.46736111111111112</v>
      </c>
      <c r="J13" s="5">
        <v>22.9</v>
      </c>
      <c r="K13" s="5">
        <v>23</v>
      </c>
      <c r="L13" t="s">
        <v>25</v>
      </c>
      <c r="N13" t="s">
        <v>37</v>
      </c>
      <c r="P13" t="s">
        <v>28</v>
      </c>
      <c r="Q13" t="s">
        <v>28</v>
      </c>
      <c r="R13" s="1"/>
      <c r="S13">
        <v>0</v>
      </c>
      <c r="T13">
        <v>0</v>
      </c>
      <c r="U13">
        <v>0</v>
      </c>
      <c r="V13">
        <v>0</v>
      </c>
      <c r="W13">
        <v>1</v>
      </c>
      <c r="X13">
        <v>0</v>
      </c>
      <c r="Y13">
        <v>0</v>
      </c>
      <c r="Z13">
        <v>1</v>
      </c>
      <c r="AA13">
        <v>0</v>
      </c>
      <c r="AB13">
        <v>1</v>
      </c>
      <c r="AD13">
        <v>0</v>
      </c>
      <c r="AE13">
        <v>0</v>
      </c>
      <c r="AF13" t="s">
        <v>49</v>
      </c>
    </row>
    <row r="14" spans="1:35" x14ac:dyDescent="0.3">
      <c r="A14" t="s">
        <v>258</v>
      </c>
      <c r="B14" s="17">
        <v>46004</v>
      </c>
      <c r="C14" s="6" t="s">
        <v>238</v>
      </c>
      <c r="D14" s="6">
        <v>2</v>
      </c>
      <c r="E14">
        <v>1</v>
      </c>
      <c r="F14">
        <v>1</v>
      </c>
      <c r="G14" s="1"/>
      <c r="H14" s="4">
        <v>0.41875000000000001</v>
      </c>
      <c r="I14" s="4">
        <v>0.42569444444444443</v>
      </c>
      <c r="J14" s="5">
        <v>22</v>
      </c>
      <c r="K14" s="5">
        <v>21.5</v>
      </c>
      <c r="L14" t="s">
        <v>27</v>
      </c>
      <c r="N14" t="s">
        <v>26</v>
      </c>
      <c r="P14" t="s">
        <v>28</v>
      </c>
      <c r="Q14" t="s">
        <v>28</v>
      </c>
      <c r="R14" s="1"/>
      <c r="S14">
        <v>1</v>
      </c>
      <c r="T14">
        <v>0</v>
      </c>
      <c r="U14">
        <v>0</v>
      </c>
      <c r="V14">
        <v>1</v>
      </c>
      <c r="W14">
        <v>1</v>
      </c>
      <c r="X14">
        <v>0</v>
      </c>
      <c r="Y14">
        <v>0</v>
      </c>
      <c r="Z14">
        <v>1</v>
      </c>
      <c r="AA14">
        <v>1</v>
      </c>
      <c r="AB14">
        <v>1</v>
      </c>
      <c r="AC14" t="s">
        <v>211</v>
      </c>
      <c r="AD14">
        <v>0</v>
      </c>
      <c r="AE14">
        <v>0</v>
      </c>
    </row>
    <row r="15" spans="1:35" x14ac:dyDescent="0.3">
      <c r="A15" t="s">
        <v>259</v>
      </c>
      <c r="B15" s="19">
        <v>45985</v>
      </c>
      <c r="C15" s="6" t="s">
        <v>236</v>
      </c>
      <c r="D15" s="6" t="s">
        <v>243</v>
      </c>
      <c r="E15">
        <v>1</v>
      </c>
      <c r="F15" s="2" t="s">
        <v>92</v>
      </c>
      <c r="G15" s="3"/>
      <c r="H15" s="4">
        <v>0.42291666666666666</v>
      </c>
      <c r="I15" s="4">
        <v>0.43055555555555558</v>
      </c>
      <c r="J15" s="5">
        <v>19.7</v>
      </c>
      <c r="K15" s="5">
        <v>19.899999999999999</v>
      </c>
      <c r="L15" s="2" t="s">
        <v>92</v>
      </c>
      <c r="M15" s="2" t="s">
        <v>92</v>
      </c>
      <c r="N15" t="s">
        <v>26</v>
      </c>
      <c r="O15" s="2" t="s">
        <v>92</v>
      </c>
      <c r="P15" s="2" t="s">
        <v>93</v>
      </c>
      <c r="Q15" s="2" t="s">
        <v>93</v>
      </c>
      <c r="R15" s="1"/>
      <c r="S15">
        <v>1</v>
      </c>
      <c r="T15">
        <v>0</v>
      </c>
      <c r="U15">
        <v>0</v>
      </c>
      <c r="V15">
        <v>1</v>
      </c>
      <c r="W15">
        <v>0</v>
      </c>
      <c r="X15">
        <v>0</v>
      </c>
      <c r="Y15">
        <v>0</v>
      </c>
      <c r="Z15">
        <v>1</v>
      </c>
      <c r="AA15">
        <v>0</v>
      </c>
      <c r="AB15" s="2">
        <v>1</v>
      </c>
      <c r="AC15" t="s">
        <v>203</v>
      </c>
      <c r="AD15" s="2" t="s">
        <v>102</v>
      </c>
      <c r="AE15" s="2" t="s">
        <v>102</v>
      </c>
      <c r="AF15" s="2" t="s">
        <v>110</v>
      </c>
    </row>
    <row r="16" spans="1:35" x14ac:dyDescent="0.3">
      <c r="A16" t="s">
        <v>260</v>
      </c>
      <c r="B16" s="17">
        <v>46010</v>
      </c>
      <c r="C16" s="6" t="s">
        <v>238</v>
      </c>
      <c r="D16" s="6">
        <v>3</v>
      </c>
      <c r="E16">
        <v>1</v>
      </c>
      <c r="F16">
        <v>1</v>
      </c>
      <c r="G16" s="1"/>
      <c r="H16" s="4">
        <v>0.4236111111111111</v>
      </c>
      <c r="I16" s="4">
        <v>0.43055555555555558</v>
      </c>
      <c r="J16" s="5">
        <v>30.4</v>
      </c>
      <c r="K16" s="5">
        <v>31</v>
      </c>
      <c r="L16" t="s">
        <v>56</v>
      </c>
      <c r="M16" t="s">
        <v>56</v>
      </c>
      <c r="N16" t="s">
        <v>26</v>
      </c>
      <c r="O16" t="s">
        <v>26</v>
      </c>
      <c r="P16" t="s">
        <v>28</v>
      </c>
      <c r="Q16" t="s">
        <v>28</v>
      </c>
      <c r="R16" s="1"/>
      <c r="S16">
        <v>0</v>
      </c>
      <c r="T16">
        <v>0</v>
      </c>
      <c r="U16">
        <v>0</v>
      </c>
      <c r="V16">
        <v>0</v>
      </c>
      <c r="W16">
        <v>1</v>
      </c>
      <c r="X16">
        <v>0</v>
      </c>
      <c r="Y16">
        <v>0</v>
      </c>
      <c r="Z16">
        <v>1</v>
      </c>
      <c r="AA16">
        <v>1</v>
      </c>
      <c r="AB16">
        <v>1</v>
      </c>
      <c r="AD16">
        <v>0</v>
      </c>
      <c r="AE16">
        <v>0</v>
      </c>
    </row>
    <row r="17" spans="1:31" x14ac:dyDescent="0.3">
      <c r="A17" t="s">
        <v>261</v>
      </c>
      <c r="B17" s="17">
        <v>46010</v>
      </c>
      <c r="C17" s="6" t="s">
        <v>238</v>
      </c>
      <c r="D17" s="6">
        <v>3</v>
      </c>
      <c r="E17">
        <v>1</v>
      </c>
      <c r="F17">
        <v>1</v>
      </c>
      <c r="G17" s="1"/>
      <c r="H17" s="4">
        <v>0.4236111111111111</v>
      </c>
      <c r="I17" s="4">
        <v>0.43055555555555558</v>
      </c>
      <c r="J17" s="5">
        <v>30.4</v>
      </c>
      <c r="K17" s="5">
        <v>31</v>
      </c>
      <c r="L17" t="s">
        <v>56</v>
      </c>
      <c r="M17" t="s">
        <v>56</v>
      </c>
      <c r="N17" t="s">
        <v>26</v>
      </c>
      <c r="O17" t="s">
        <v>26</v>
      </c>
      <c r="P17" t="s">
        <v>28</v>
      </c>
      <c r="Q17" t="s">
        <v>28</v>
      </c>
      <c r="R17" s="1"/>
      <c r="S17">
        <v>1</v>
      </c>
      <c r="T17">
        <v>0</v>
      </c>
      <c r="U17">
        <v>0</v>
      </c>
      <c r="V17">
        <v>0</v>
      </c>
      <c r="W17">
        <v>0</v>
      </c>
      <c r="X17">
        <v>0</v>
      </c>
      <c r="Y17">
        <v>0</v>
      </c>
      <c r="Z17">
        <v>1</v>
      </c>
      <c r="AA17">
        <v>1</v>
      </c>
      <c r="AB17">
        <v>1</v>
      </c>
      <c r="AD17">
        <v>0</v>
      </c>
      <c r="AE17">
        <v>0</v>
      </c>
    </row>
    <row r="18" spans="1:31" x14ac:dyDescent="0.3">
      <c r="A18" t="s">
        <v>262</v>
      </c>
      <c r="B18" s="17">
        <v>46000</v>
      </c>
      <c r="C18" s="6" t="s">
        <v>238</v>
      </c>
      <c r="D18" s="6">
        <v>5</v>
      </c>
      <c r="E18">
        <v>1</v>
      </c>
      <c r="F18">
        <v>1</v>
      </c>
      <c r="G18" s="1"/>
      <c r="H18" s="4">
        <v>0.42708333333333331</v>
      </c>
      <c r="I18" s="4">
        <v>0.43472222222222223</v>
      </c>
      <c r="J18" s="5">
        <v>26.5</v>
      </c>
      <c r="K18" s="5">
        <v>26.5</v>
      </c>
      <c r="L18" t="s">
        <v>56</v>
      </c>
      <c r="M18" t="s">
        <v>56</v>
      </c>
      <c r="N18" t="s">
        <v>37</v>
      </c>
      <c r="O18" t="s">
        <v>47</v>
      </c>
      <c r="P18" t="s">
        <v>28</v>
      </c>
      <c r="Q18" t="s">
        <v>28</v>
      </c>
      <c r="R18" s="1"/>
      <c r="S18">
        <v>1</v>
      </c>
      <c r="T18">
        <v>0</v>
      </c>
      <c r="U18">
        <v>0</v>
      </c>
      <c r="V18">
        <v>1</v>
      </c>
      <c r="W18">
        <v>1</v>
      </c>
      <c r="X18">
        <v>0</v>
      </c>
      <c r="Y18">
        <v>0</v>
      </c>
      <c r="Z18">
        <v>1</v>
      </c>
      <c r="AA18">
        <v>1</v>
      </c>
      <c r="AB18">
        <v>0</v>
      </c>
      <c r="AD18">
        <v>0</v>
      </c>
      <c r="AE18">
        <v>0</v>
      </c>
    </row>
    <row r="19" spans="1:31" x14ac:dyDescent="0.3">
      <c r="A19" t="s">
        <v>263</v>
      </c>
      <c r="B19" s="17">
        <v>46001</v>
      </c>
      <c r="C19" s="6" t="s">
        <v>238</v>
      </c>
      <c r="D19" s="6">
        <v>3</v>
      </c>
      <c r="E19">
        <v>1</v>
      </c>
      <c r="F19">
        <v>1</v>
      </c>
      <c r="G19" s="1"/>
      <c r="H19" s="4">
        <v>0.4284722222222222</v>
      </c>
      <c r="I19" s="4">
        <v>0.43541666666666667</v>
      </c>
      <c r="J19" s="5">
        <v>19.399999999999999</v>
      </c>
      <c r="K19" s="5">
        <v>19.8</v>
      </c>
      <c r="L19" t="s">
        <v>50</v>
      </c>
      <c r="M19" t="s">
        <v>50</v>
      </c>
      <c r="N19" t="s">
        <v>37</v>
      </c>
      <c r="O19" t="s">
        <v>47</v>
      </c>
      <c r="P19" t="s">
        <v>28</v>
      </c>
      <c r="Q19" t="s">
        <v>28</v>
      </c>
      <c r="R19" s="1"/>
      <c r="S19">
        <v>1</v>
      </c>
      <c r="T19">
        <v>0</v>
      </c>
      <c r="U19">
        <v>0</v>
      </c>
      <c r="V19">
        <v>1</v>
      </c>
      <c r="W19">
        <v>1</v>
      </c>
      <c r="X19">
        <v>0</v>
      </c>
      <c r="Y19">
        <v>0</v>
      </c>
      <c r="Z19">
        <v>1</v>
      </c>
      <c r="AA19">
        <v>1</v>
      </c>
      <c r="AB19">
        <v>1</v>
      </c>
      <c r="AD19">
        <v>0</v>
      </c>
      <c r="AE19">
        <v>0</v>
      </c>
    </row>
    <row r="20" spans="1:31" x14ac:dyDescent="0.3">
      <c r="A20" t="s">
        <v>264</v>
      </c>
      <c r="B20" s="17">
        <v>46001</v>
      </c>
      <c r="C20" s="6" t="s">
        <v>238</v>
      </c>
      <c r="D20" s="6">
        <v>3</v>
      </c>
      <c r="E20">
        <v>1</v>
      </c>
      <c r="F20">
        <v>1</v>
      </c>
      <c r="G20" s="1"/>
      <c r="H20" s="4">
        <v>0.4284722222222222</v>
      </c>
      <c r="I20" s="4">
        <v>0.43541666666666667</v>
      </c>
      <c r="J20" s="5">
        <v>19.399999999999999</v>
      </c>
      <c r="K20" s="5">
        <v>19.8</v>
      </c>
      <c r="L20" t="s">
        <v>50</v>
      </c>
      <c r="M20" t="s">
        <v>50</v>
      </c>
      <c r="N20" t="s">
        <v>26</v>
      </c>
      <c r="O20" t="s">
        <v>26</v>
      </c>
      <c r="P20" t="s">
        <v>28</v>
      </c>
      <c r="Q20" t="s">
        <v>28</v>
      </c>
      <c r="R20" s="1"/>
      <c r="S20">
        <v>1</v>
      </c>
      <c r="T20">
        <v>0</v>
      </c>
      <c r="U20">
        <v>0</v>
      </c>
      <c r="V20">
        <v>1</v>
      </c>
      <c r="W20">
        <v>1</v>
      </c>
      <c r="X20">
        <v>1</v>
      </c>
      <c r="Y20">
        <v>0</v>
      </c>
      <c r="Z20">
        <v>1</v>
      </c>
      <c r="AA20">
        <v>0</v>
      </c>
      <c r="AB20">
        <v>0</v>
      </c>
      <c r="AD20">
        <v>0</v>
      </c>
      <c r="AE20">
        <v>0</v>
      </c>
    </row>
    <row r="21" spans="1:31" x14ac:dyDescent="0.3">
      <c r="A21" t="s">
        <v>265</v>
      </c>
      <c r="B21" s="17">
        <v>46005</v>
      </c>
      <c r="C21" s="6" t="s">
        <v>236</v>
      </c>
      <c r="D21" s="6">
        <v>1</v>
      </c>
      <c r="E21">
        <v>1</v>
      </c>
      <c r="F21">
        <v>2</v>
      </c>
      <c r="G21" s="1"/>
      <c r="H21" s="4">
        <v>0.4284722222222222</v>
      </c>
      <c r="I21" s="4">
        <v>0.43611111111111112</v>
      </c>
      <c r="J21" s="5">
        <v>20.9</v>
      </c>
      <c r="K21" s="5">
        <v>21.8</v>
      </c>
      <c r="L21" t="s">
        <v>30</v>
      </c>
      <c r="M21" t="s">
        <v>30</v>
      </c>
      <c r="N21" t="s">
        <v>26</v>
      </c>
      <c r="O21" t="s">
        <v>31</v>
      </c>
      <c r="P21" t="s">
        <v>28</v>
      </c>
      <c r="Q21" t="s">
        <v>28</v>
      </c>
      <c r="R21" s="1"/>
      <c r="S21">
        <v>0</v>
      </c>
      <c r="T21">
        <v>0</v>
      </c>
      <c r="U21">
        <v>0</v>
      </c>
      <c r="V21">
        <v>1</v>
      </c>
      <c r="W21">
        <v>1</v>
      </c>
      <c r="X21">
        <v>0</v>
      </c>
      <c r="Y21">
        <v>0</v>
      </c>
      <c r="Z21">
        <v>1</v>
      </c>
      <c r="AA21">
        <v>0</v>
      </c>
      <c r="AB21">
        <v>1</v>
      </c>
      <c r="AC21" t="s">
        <v>59</v>
      </c>
      <c r="AD21">
        <v>0</v>
      </c>
      <c r="AE21">
        <v>0</v>
      </c>
    </row>
    <row r="22" spans="1:31" x14ac:dyDescent="0.3">
      <c r="A22" t="s">
        <v>266</v>
      </c>
      <c r="B22" s="17">
        <v>46002</v>
      </c>
      <c r="C22" s="6" t="s">
        <v>237</v>
      </c>
      <c r="D22" s="6">
        <v>2</v>
      </c>
      <c r="E22">
        <v>1</v>
      </c>
      <c r="F22">
        <v>1</v>
      </c>
      <c r="G22" s="1"/>
      <c r="H22" s="4">
        <v>0.43194444444444446</v>
      </c>
      <c r="I22" s="4">
        <v>0.43958333333333333</v>
      </c>
      <c r="J22" s="5">
        <v>18.600000000000001</v>
      </c>
      <c r="K22" s="5">
        <v>19</v>
      </c>
      <c r="L22" t="s">
        <v>25</v>
      </c>
      <c r="M22" t="s">
        <v>25</v>
      </c>
      <c r="N22" t="s">
        <v>35</v>
      </c>
      <c r="O22" t="s">
        <v>26</v>
      </c>
      <c r="P22" t="s">
        <v>28</v>
      </c>
      <c r="Q22" t="s">
        <v>28</v>
      </c>
      <c r="R22" s="1"/>
      <c r="S22">
        <v>0</v>
      </c>
      <c r="T22">
        <v>1</v>
      </c>
      <c r="U22">
        <v>0</v>
      </c>
      <c r="V22">
        <v>1</v>
      </c>
      <c r="W22">
        <v>0</v>
      </c>
      <c r="X22">
        <v>0</v>
      </c>
      <c r="Y22">
        <v>0</v>
      </c>
      <c r="Z22">
        <v>0</v>
      </c>
      <c r="AA22">
        <v>0</v>
      </c>
      <c r="AB22">
        <v>0</v>
      </c>
      <c r="AC22" t="s">
        <v>46</v>
      </c>
      <c r="AD22">
        <v>0</v>
      </c>
      <c r="AE22">
        <v>0</v>
      </c>
    </row>
    <row r="23" spans="1:31" x14ac:dyDescent="0.3">
      <c r="A23" t="s">
        <v>267</v>
      </c>
      <c r="B23" s="17">
        <v>46002</v>
      </c>
      <c r="C23" s="6" t="s">
        <v>237</v>
      </c>
      <c r="D23" s="6">
        <v>2</v>
      </c>
      <c r="E23">
        <v>1</v>
      </c>
      <c r="F23">
        <v>1</v>
      </c>
      <c r="G23" s="1"/>
      <c r="H23" s="4">
        <v>0.43194444444444446</v>
      </c>
      <c r="I23" s="4">
        <v>0.43888888888888888</v>
      </c>
      <c r="J23" s="5">
        <v>18.600000000000001</v>
      </c>
      <c r="K23" s="5">
        <v>19</v>
      </c>
      <c r="L23" t="s">
        <v>25</v>
      </c>
      <c r="M23" t="s">
        <v>25</v>
      </c>
      <c r="N23" t="s">
        <v>35</v>
      </c>
      <c r="O23" t="s">
        <v>26</v>
      </c>
      <c r="P23" t="s">
        <v>28</v>
      </c>
      <c r="Q23" t="s">
        <v>28</v>
      </c>
      <c r="R23" s="1"/>
      <c r="S23">
        <v>0</v>
      </c>
      <c r="T23">
        <v>0</v>
      </c>
      <c r="U23">
        <v>1</v>
      </c>
      <c r="V23">
        <v>0</v>
      </c>
      <c r="W23">
        <v>0</v>
      </c>
      <c r="X23">
        <v>0</v>
      </c>
      <c r="Y23">
        <v>0</v>
      </c>
      <c r="Z23">
        <v>0</v>
      </c>
      <c r="AA23">
        <v>0</v>
      </c>
      <c r="AB23">
        <v>0</v>
      </c>
      <c r="AC23" t="s">
        <v>42</v>
      </c>
      <c r="AD23">
        <v>0</v>
      </c>
      <c r="AE23">
        <v>0</v>
      </c>
    </row>
    <row r="24" spans="1:31" x14ac:dyDescent="0.3">
      <c r="A24" t="s">
        <v>268</v>
      </c>
      <c r="B24" s="17">
        <v>46010</v>
      </c>
      <c r="C24" s="6" t="s">
        <v>238</v>
      </c>
      <c r="D24" s="6">
        <v>3</v>
      </c>
      <c r="E24">
        <v>2</v>
      </c>
      <c r="F24">
        <v>1</v>
      </c>
      <c r="G24" s="1"/>
      <c r="H24" s="4">
        <v>0.43263888888888891</v>
      </c>
      <c r="I24" s="4">
        <v>0.43958333333333333</v>
      </c>
      <c r="J24" s="5">
        <v>31</v>
      </c>
      <c r="K24" s="5">
        <v>31.2</v>
      </c>
      <c r="L24" t="s">
        <v>56</v>
      </c>
      <c r="M24" t="s">
        <v>56</v>
      </c>
      <c r="N24" t="s">
        <v>26</v>
      </c>
      <c r="O24" t="s">
        <v>26</v>
      </c>
      <c r="P24" t="s">
        <v>28</v>
      </c>
      <c r="Q24" t="s">
        <v>28</v>
      </c>
      <c r="R24" s="1"/>
      <c r="S24">
        <v>0</v>
      </c>
      <c r="T24">
        <v>0</v>
      </c>
      <c r="U24">
        <v>0</v>
      </c>
      <c r="V24">
        <v>0</v>
      </c>
      <c r="W24">
        <v>0</v>
      </c>
      <c r="X24">
        <v>0</v>
      </c>
      <c r="Y24">
        <v>0</v>
      </c>
      <c r="Z24">
        <v>1</v>
      </c>
      <c r="AA24">
        <v>0</v>
      </c>
      <c r="AB24">
        <v>1</v>
      </c>
      <c r="AD24">
        <v>0</v>
      </c>
      <c r="AE24">
        <v>0</v>
      </c>
    </row>
    <row r="25" spans="1:31" x14ac:dyDescent="0.3">
      <c r="A25" t="s">
        <v>269</v>
      </c>
      <c r="B25" s="17">
        <v>46010</v>
      </c>
      <c r="C25" s="6" t="s">
        <v>238</v>
      </c>
      <c r="D25" s="6">
        <v>3</v>
      </c>
      <c r="E25">
        <v>2</v>
      </c>
      <c r="F25">
        <v>1</v>
      </c>
      <c r="G25" s="1"/>
      <c r="H25" s="4">
        <v>0.43263888888888891</v>
      </c>
      <c r="I25" s="4">
        <v>0.44027777777777777</v>
      </c>
      <c r="J25" s="5">
        <v>31</v>
      </c>
      <c r="K25" s="5">
        <v>31.2</v>
      </c>
      <c r="L25" t="s">
        <v>56</v>
      </c>
      <c r="M25" t="s">
        <v>56</v>
      </c>
      <c r="N25" t="s">
        <v>26</v>
      </c>
      <c r="O25" t="s">
        <v>26</v>
      </c>
      <c r="P25" t="s">
        <v>28</v>
      </c>
      <c r="Q25" t="s">
        <v>28</v>
      </c>
      <c r="R25" s="1"/>
      <c r="S25">
        <v>0</v>
      </c>
      <c r="T25">
        <v>0</v>
      </c>
      <c r="U25">
        <v>0</v>
      </c>
      <c r="V25">
        <v>1</v>
      </c>
      <c r="W25">
        <v>1</v>
      </c>
      <c r="X25">
        <v>0</v>
      </c>
      <c r="Y25">
        <v>0</v>
      </c>
      <c r="Z25">
        <v>1</v>
      </c>
      <c r="AA25">
        <v>0</v>
      </c>
      <c r="AB25">
        <v>0</v>
      </c>
      <c r="AD25">
        <v>0</v>
      </c>
      <c r="AE25">
        <v>0</v>
      </c>
    </row>
    <row r="26" spans="1:31" x14ac:dyDescent="0.3">
      <c r="A26" t="s">
        <v>270</v>
      </c>
      <c r="B26" s="17">
        <v>45999</v>
      </c>
      <c r="C26" s="6" t="s">
        <v>236</v>
      </c>
      <c r="D26" s="6">
        <v>1</v>
      </c>
      <c r="E26">
        <v>1</v>
      </c>
      <c r="F26">
        <v>1</v>
      </c>
      <c r="G26" s="1"/>
      <c r="H26" s="4">
        <v>0.43541666666666667</v>
      </c>
      <c r="I26" s="4">
        <v>0.44305555555555554</v>
      </c>
      <c r="J26" s="5">
        <v>20.399999999999999</v>
      </c>
      <c r="K26" s="5">
        <v>21.1</v>
      </c>
      <c r="L26" t="s">
        <v>30</v>
      </c>
      <c r="M26" t="s">
        <v>27</v>
      </c>
      <c r="N26" t="s">
        <v>35</v>
      </c>
      <c r="O26" t="s">
        <v>26</v>
      </c>
      <c r="P26" t="s">
        <v>28</v>
      </c>
      <c r="Q26" t="s">
        <v>28</v>
      </c>
      <c r="R26" s="1"/>
      <c r="S26">
        <v>1</v>
      </c>
      <c r="T26">
        <v>1</v>
      </c>
      <c r="U26">
        <v>1</v>
      </c>
      <c r="V26">
        <v>1</v>
      </c>
      <c r="W26">
        <v>0</v>
      </c>
      <c r="X26">
        <v>1</v>
      </c>
      <c r="Y26">
        <v>0</v>
      </c>
      <c r="Z26">
        <v>1</v>
      </c>
      <c r="AA26">
        <v>1</v>
      </c>
      <c r="AB26">
        <v>1</v>
      </c>
      <c r="AC26" t="s">
        <v>59</v>
      </c>
      <c r="AD26">
        <v>0</v>
      </c>
      <c r="AE26">
        <v>0</v>
      </c>
    </row>
    <row r="27" spans="1:31" x14ac:dyDescent="0.3">
      <c r="A27" t="s">
        <v>271</v>
      </c>
      <c r="B27" s="17">
        <v>45999</v>
      </c>
      <c r="C27" s="6" t="s">
        <v>236</v>
      </c>
      <c r="D27" s="6">
        <v>1</v>
      </c>
      <c r="E27">
        <v>1</v>
      </c>
      <c r="F27">
        <v>1</v>
      </c>
      <c r="G27" s="1"/>
      <c r="H27" s="4">
        <v>0.43541666666666667</v>
      </c>
      <c r="I27" s="4">
        <v>0.44305555555555554</v>
      </c>
      <c r="J27" s="5">
        <v>20.399999999999999</v>
      </c>
      <c r="K27" s="5">
        <v>21.1</v>
      </c>
      <c r="L27" t="s">
        <v>30</v>
      </c>
      <c r="M27" t="s">
        <v>27</v>
      </c>
      <c r="N27" t="s">
        <v>35</v>
      </c>
      <c r="O27" t="s">
        <v>26</v>
      </c>
      <c r="P27" t="s">
        <v>28</v>
      </c>
      <c r="Q27" t="s">
        <v>28</v>
      </c>
      <c r="R27" s="1"/>
      <c r="S27">
        <v>0</v>
      </c>
      <c r="T27">
        <v>0</v>
      </c>
      <c r="U27">
        <v>0</v>
      </c>
      <c r="V27">
        <v>1</v>
      </c>
      <c r="W27">
        <v>0</v>
      </c>
      <c r="X27">
        <v>0</v>
      </c>
      <c r="Y27">
        <v>1</v>
      </c>
      <c r="Z27">
        <v>1</v>
      </c>
      <c r="AA27">
        <v>0</v>
      </c>
      <c r="AB27">
        <v>1</v>
      </c>
      <c r="AC27" t="s">
        <v>59</v>
      </c>
      <c r="AD27">
        <v>0</v>
      </c>
      <c r="AE27">
        <v>0</v>
      </c>
    </row>
    <row r="28" spans="1:31" x14ac:dyDescent="0.3">
      <c r="A28" t="s">
        <v>272</v>
      </c>
      <c r="B28" s="17">
        <v>46000</v>
      </c>
      <c r="C28" s="6" t="s">
        <v>238</v>
      </c>
      <c r="D28" s="6">
        <v>5</v>
      </c>
      <c r="E28">
        <v>1</v>
      </c>
      <c r="F28">
        <v>2</v>
      </c>
      <c r="G28" s="1"/>
      <c r="H28" s="4">
        <v>0.43541666666666667</v>
      </c>
      <c r="I28" s="4">
        <v>0.44305555555555554</v>
      </c>
      <c r="J28" s="5">
        <v>26.5</v>
      </c>
      <c r="K28" s="5">
        <v>27.4</v>
      </c>
      <c r="L28" t="s">
        <v>56</v>
      </c>
      <c r="M28" t="s">
        <v>56</v>
      </c>
      <c r="N28" t="s">
        <v>37</v>
      </c>
      <c r="O28" t="s">
        <v>37</v>
      </c>
      <c r="P28" t="s">
        <v>28</v>
      </c>
      <c r="Q28" t="s">
        <v>28</v>
      </c>
      <c r="R28" s="1"/>
      <c r="S28">
        <v>1</v>
      </c>
      <c r="T28">
        <v>0</v>
      </c>
      <c r="U28">
        <v>0</v>
      </c>
      <c r="V28">
        <v>1</v>
      </c>
      <c r="W28">
        <v>1</v>
      </c>
      <c r="X28">
        <v>0</v>
      </c>
      <c r="Y28">
        <v>0</v>
      </c>
      <c r="Z28">
        <v>1</v>
      </c>
      <c r="AA28">
        <v>1</v>
      </c>
      <c r="AB28">
        <v>1</v>
      </c>
      <c r="AD28">
        <v>0</v>
      </c>
      <c r="AE28">
        <v>0</v>
      </c>
    </row>
    <row r="29" spans="1:31" x14ac:dyDescent="0.3">
      <c r="A29" t="s">
        <v>273</v>
      </c>
      <c r="B29" s="17">
        <v>46004</v>
      </c>
      <c r="C29" s="6" t="s">
        <v>238</v>
      </c>
      <c r="D29" s="6">
        <v>3</v>
      </c>
      <c r="E29">
        <v>1</v>
      </c>
      <c r="F29">
        <v>1</v>
      </c>
      <c r="G29" s="1"/>
      <c r="H29" s="4">
        <v>0.43611111111111112</v>
      </c>
      <c r="I29" s="4">
        <v>0.44305555555555554</v>
      </c>
      <c r="J29" s="5">
        <v>22.1</v>
      </c>
      <c r="K29" s="5">
        <v>22.5</v>
      </c>
      <c r="L29" t="s">
        <v>25</v>
      </c>
      <c r="N29" t="s">
        <v>37</v>
      </c>
      <c r="P29" t="s">
        <v>28</v>
      </c>
      <c r="Q29" t="s">
        <v>28</v>
      </c>
      <c r="R29" s="1"/>
      <c r="S29">
        <v>1</v>
      </c>
      <c r="T29">
        <v>0</v>
      </c>
      <c r="U29">
        <v>0</v>
      </c>
      <c r="V29">
        <v>1</v>
      </c>
      <c r="W29">
        <v>0</v>
      </c>
      <c r="X29">
        <v>0</v>
      </c>
      <c r="Y29">
        <v>0</v>
      </c>
      <c r="Z29">
        <v>1</v>
      </c>
      <c r="AA29">
        <v>0</v>
      </c>
      <c r="AB29">
        <v>1</v>
      </c>
      <c r="AD29">
        <v>0</v>
      </c>
      <c r="AE29">
        <v>0</v>
      </c>
    </row>
    <row r="30" spans="1:31" x14ac:dyDescent="0.3">
      <c r="A30" t="s">
        <v>274</v>
      </c>
      <c r="B30" s="17">
        <v>46001</v>
      </c>
      <c r="C30" s="6" t="s">
        <v>238</v>
      </c>
      <c r="D30" s="6">
        <v>3</v>
      </c>
      <c r="E30">
        <v>2</v>
      </c>
      <c r="F30">
        <v>1</v>
      </c>
      <c r="G30" s="1"/>
      <c r="H30" s="4">
        <v>0.4375</v>
      </c>
      <c r="I30" s="4">
        <v>0.44444444444444442</v>
      </c>
      <c r="J30" s="5">
        <v>19.8</v>
      </c>
      <c r="K30" s="5">
        <v>20.5</v>
      </c>
      <c r="L30" t="s">
        <v>50</v>
      </c>
      <c r="M30" t="s">
        <v>50</v>
      </c>
      <c r="N30" t="s">
        <v>26</v>
      </c>
      <c r="O30" t="s">
        <v>26</v>
      </c>
      <c r="P30" t="s">
        <v>28</v>
      </c>
      <c r="Q30" t="s">
        <v>28</v>
      </c>
      <c r="R30" s="1"/>
      <c r="S30">
        <v>1</v>
      </c>
      <c r="T30">
        <v>0</v>
      </c>
      <c r="U30">
        <v>0</v>
      </c>
      <c r="V30">
        <v>1</v>
      </c>
      <c r="W30">
        <v>1</v>
      </c>
      <c r="X30">
        <v>0</v>
      </c>
      <c r="Y30">
        <v>0</v>
      </c>
      <c r="Z30">
        <v>1</v>
      </c>
      <c r="AA30">
        <v>1</v>
      </c>
      <c r="AB30">
        <v>1</v>
      </c>
      <c r="AC30" t="s">
        <v>51</v>
      </c>
      <c r="AD30">
        <v>0</v>
      </c>
      <c r="AE30">
        <v>0</v>
      </c>
    </row>
    <row r="31" spans="1:31" x14ac:dyDescent="0.3">
      <c r="A31" t="s">
        <v>275</v>
      </c>
      <c r="B31" s="17">
        <v>46001</v>
      </c>
      <c r="C31" s="6" t="s">
        <v>238</v>
      </c>
      <c r="D31" s="6">
        <v>3</v>
      </c>
      <c r="E31">
        <v>2</v>
      </c>
      <c r="F31">
        <v>1</v>
      </c>
      <c r="G31" s="1"/>
      <c r="H31" s="4">
        <v>0.4375</v>
      </c>
      <c r="I31" s="4">
        <v>0.44513888888888886</v>
      </c>
      <c r="J31" s="5">
        <v>19.8</v>
      </c>
      <c r="K31" s="5">
        <v>20.5</v>
      </c>
      <c r="L31" t="s">
        <v>50</v>
      </c>
      <c r="M31" t="s">
        <v>50</v>
      </c>
      <c r="N31" t="s">
        <v>26</v>
      </c>
      <c r="O31" t="s">
        <v>26</v>
      </c>
      <c r="P31" t="s">
        <v>28</v>
      </c>
      <c r="Q31" t="s">
        <v>28</v>
      </c>
      <c r="R31" s="1"/>
      <c r="S31">
        <v>1</v>
      </c>
      <c r="T31">
        <v>0</v>
      </c>
      <c r="U31">
        <v>1</v>
      </c>
      <c r="V31">
        <v>1</v>
      </c>
      <c r="W31">
        <v>1</v>
      </c>
      <c r="X31">
        <v>0</v>
      </c>
      <c r="Y31">
        <v>0</v>
      </c>
      <c r="Z31">
        <v>1</v>
      </c>
      <c r="AA31">
        <v>1</v>
      </c>
      <c r="AB31">
        <v>1</v>
      </c>
      <c r="AC31" t="s">
        <v>177</v>
      </c>
      <c r="AD31">
        <v>0</v>
      </c>
      <c r="AE31">
        <v>0</v>
      </c>
    </row>
    <row r="32" spans="1:31" x14ac:dyDescent="0.3">
      <c r="A32" t="s">
        <v>276</v>
      </c>
      <c r="B32" s="17">
        <v>46005</v>
      </c>
      <c r="C32" s="6" t="s">
        <v>236</v>
      </c>
      <c r="D32" s="6">
        <v>1</v>
      </c>
      <c r="E32">
        <v>3</v>
      </c>
      <c r="F32">
        <v>1</v>
      </c>
      <c r="G32" s="1"/>
      <c r="H32" s="4">
        <v>0.43888888888888888</v>
      </c>
      <c r="I32" s="4">
        <v>0.44583333333333336</v>
      </c>
      <c r="J32" s="5">
        <v>21.8</v>
      </c>
      <c r="K32" s="5">
        <v>23.4</v>
      </c>
      <c r="L32" t="s">
        <v>32</v>
      </c>
      <c r="M32" t="s">
        <v>30</v>
      </c>
      <c r="N32" t="s">
        <v>33</v>
      </c>
      <c r="O32" t="s">
        <v>33</v>
      </c>
      <c r="P32" t="s">
        <v>28</v>
      </c>
      <c r="Q32" t="s">
        <v>28</v>
      </c>
      <c r="R32" s="1"/>
      <c r="S32">
        <v>0</v>
      </c>
      <c r="T32">
        <v>0</v>
      </c>
      <c r="U32">
        <v>0</v>
      </c>
      <c r="V32">
        <v>0</v>
      </c>
      <c r="W32">
        <v>0</v>
      </c>
      <c r="X32">
        <v>0</v>
      </c>
      <c r="Y32">
        <v>0</v>
      </c>
      <c r="Z32">
        <v>1</v>
      </c>
      <c r="AA32">
        <v>0</v>
      </c>
      <c r="AB32">
        <v>1</v>
      </c>
      <c r="AC32" t="s">
        <v>34</v>
      </c>
      <c r="AD32">
        <v>0</v>
      </c>
      <c r="AE32">
        <v>0</v>
      </c>
    </row>
    <row r="33" spans="1:34" x14ac:dyDescent="0.3">
      <c r="A33" t="s">
        <v>277</v>
      </c>
      <c r="B33" s="17">
        <v>46002</v>
      </c>
      <c r="C33" s="6" t="s">
        <v>237</v>
      </c>
      <c r="D33" s="6">
        <v>2</v>
      </c>
      <c r="E33">
        <v>1</v>
      </c>
      <c r="F33">
        <v>2</v>
      </c>
      <c r="G33" s="1"/>
      <c r="H33" s="4">
        <v>0.44027777777777777</v>
      </c>
      <c r="I33" s="4">
        <v>0.44791666666666669</v>
      </c>
      <c r="J33" s="5">
        <v>19</v>
      </c>
      <c r="K33" s="5">
        <v>19.2</v>
      </c>
      <c r="L33" t="s">
        <v>25</v>
      </c>
      <c r="M33" t="s">
        <v>25</v>
      </c>
      <c r="N33" t="s">
        <v>26</v>
      </c>
      <c r="O33" t="s">
        <v>26</v>
      </c>
      <c r="P33" t="s">
        <v>28</v>
      </c>
      <c r="Q33" t="s">
        <v>28</v>
      </c>
      <c r="R33" s="1"/>
      <c r="S33">
        <v>0</v>
      </c>
      <c r="T33">
        <v>1</v>
      </c>
      <c r="U33">
        <v>1</v>
      </c>
      <c r="V33">
        <v>0</v>
      </c>
      <c r="W33">
        <v>0</v>
      </c>
      <c r="X33">
        <v>0</v>
      </c>
      <c r="Y33">
        <v>0</v>
      </c>
      <c r="Z33">
        <v>0</v>
      </c>
      <c r="AA33">
        <v>0</v>
      </c>
      <c r="AB33">
        <v>0</v>
      </c>
      <c r="AD33">
        <v>0</v>
      </c>
      <c r="AE33">
        <v>0</v>
      </c>
    </row>
    <row r="34" spans="1:34" x14ac:dyDescent="0.3">
      <c r="A34" t="s">
        <v>278</v>
      </c>
      <c r="B34" s="17">
        <v>46002</v>
      </c>
      <c r="C34" s="6" t="s">
        <v>237</v>
      </c>
      <c r="D34" s="6">
        <v>2</v>
      </c>
      <c r="E34">
        <v>1</v>
      </c>
      <c r="F34">
        <v>2</v>
      </c>
      <c r="G34" s="1"/>
      <c r="H34" s="4">
        <v>0.44027777777777777</v>
      </c>
      <c r="I34" s="4">
        <v>0.44722222222222224</v>
      </c>
      <c r="J34" s="5">
        <v>19</v>
      </c>
      <c r="K34" s="5">
        <v>19.2</v>
      </c>
      <c r="L34" t="s">
        <v>25</v>
      </c>
      <c r="M34" t="s">
        <v>25</v>
      </c>
      <c r="N34" t="s">
        <v>26</v>
      </c>
      <c r="O34" t="s">
        <v>31</v>
      </c>
      <c r="P34" t="s">
        <v>28</v>
      </c>
      <c r="Q34" t="s">
        <v>28</v>
      </c>
      <c r="R34" s="1"/>
      <c r="S34">
        <v>0</v>
      </c>
      <c r="T34">
        <v>0</v>
      </c>
      <c r="U34">
        <v>0</v>
      </c>
      <c r="V34">
        <v>1</v>
      </c>
      <c r="W34">
        <v>0</v>
      </c>
      <c r="X34">
        <v>0</v>
      </c>
      <c r="Y34">
        <v>0</v>
      </c>
      <c r="Z34">
        <v>0</v>
      </c>
      <c r="AA34">
        <v>0</v>
      </c>
      <c r="AB34">
        <v>0</v>
      </c>
      <c r="AC34" t="s">
        <v>43</v>
      </c>
      <c r="AD34">
        <v>0</v>
      </c>
      <c r="AE34">
        <v>0</v>
      </c>
    </row>
    <row r="35" spans="1:34" x14ac:dyDescent="0.3">
      <c r="A35" t="s">
        <v>279</v>
      </c>
      <c r="B35" s="17">
        <v>45995</v>
      </c>
      <c r="C35" s="6" t="s">
        <v>238</v>
      </c>
      <c r="D35" s="6">
        <v>2</v>
      </c>
      <c r="E35">
        <v>1</v>
      </c>
      <c r="F35">
        <v>1</v>
      </c>
      <c r="G35" s="1"/>
      <c r="H35" s="4">
        <v>0.44097222222222221</v>
      </c>
      <c r="I35" s="4">
        <v>0.44791666666666669</v>
      </c>
      <c r="J35" s="5">
        <v>25.7</v>
      </c>
      <c r="K35" s="5">
        <v>25.8</v>
      </c>
      <c r="L35" t="s">
        <v>56</v>
      </c>
      <c r="M35" t="s">
        <v>56</v>
      </c>
      <c r="N35" t="s">
        <v>26</v>
      </c>
      <c r="O35" t="s">
        <v>26</v>
      </c>
      <c r="P35" t="s">
        <v>28</v>
      </c>
      <c r="Q35" t="s">
        <v>28</v>
      </c>
      <c r="R35" s="1"/>
      <c r="S35">
        <v>0</v>
      </c>
      <c r="T35">
        <v>0</v>
      </c>
      <c r="U35">
        <v>1</v>
      </c>
      <c r="V35">
        <v>1</v>
      </c>
      <c r="W35">
        <v>0</v>
      </c>
      <c r="X35">
        <v>0</v>
      </c>
      <c r="Y35">
        <v>0</v>
      </c>
      <c r="Z35">
        <v>1</v>
      </c>
      <c r="AA35">
        <v>1</v>
      </c>
      <c r="AB35">
        <v>1</v>
      </c>
      <c r="AD35">
        <v>2</v>
      </c>
      <c r="AE35">
        <v>0</v>
      </c>
      <c r="AF35" t="s">
        <v>74</v>
      </c>
      <c r="AG35" t="s">
        <v>75</v>
      </c>
    </row>
    <row r="36" spans="1:34" x14ac:dyDescent="0.3">
      <c r="A36" t="s">
        <v>280</v>
      </c>
      <c r="B36" s="17">
        <v>45995</v>
      </c>
      <c r="C36" s="6" t="s">
        <v>238</v>
      </c>
      <c r="D36" s="6">
        <v>2</v>
      </c>
      <c r="E36">
        <v>1</v>
      </c>
      <c r="F36">
        <v>1</v>
      </c>
      <c r="G36" s="1"/>
      <c r="H36" s="4">
        <v>0.44097222222222221</v>
      </c>
      <c r="I36" s="4">
        <v>0.44791666666666669</v>
      </c>
      <c r="J36" s="5">
        <v>25.7</v>
      </c>
      <c r="K36" s="5">
        <v>25.8</v>
      </c>
      <c r="L36" t="s">
        <v>56</v>
      </c>
      <c r="M36" t="s">
        <v>56</v>
      </c>
      <c r="N36" t="s">
        <v>26</v>
      </c>
      <c r="O36" t="s">
        <v>26</v>
      </c>
      <c r="P36" t="s">
        <v>28</v>
      </c>
      <c r="Q36" t="s">
        <v>28</v>
      </c>
      <c r="R36" s="1"/>
      <c r="S36">
        <v>1</v>
      </c>
      <c r="T36">
        <v>0</v>
      </c>
      <c r="U36">
        <v>1</v>
      </c>
      <c r="V36">
        <v>1</v>
      </c>
      <c r="W36">
        <v>0</v>
      </c>
      <c r="X36">
        <v>0</v>
      </c>
      <c r="Y36">
        <v>0</v>
      </c>
      <c r="Z36">
        <v>1</v>
      </c>
      <c r="AA36">
        <v>1</v>
      </c>
      <c r="AB36">
        <v>1</v>
      </c>
      <c r="AC36" t="s">
        <v>154</v>
      </c>
      <c r="AD36">
        <v>0</v>
      </c>
      <c r="AE36">
        <v>0</v>
      </c>
      <c r="AF36" t="s">
        <v>72</v>
      </c>
    </row>
    <row r="37" spans="1:34" x14ac:dyDescent="0.3">
      <c r="A37" t="s">
        <v>281</v>
      </c>
      <c r="B37" s="17">
        <v>46009</v>
      </c>
      <c r="C37" s="6" t="s">
        <v>236</v>
      </c>
      <c r="D37" s="6">
        <v>2</v>
      </c>
      <c r="E37">
        <v>1</v>
      </c>
      <c r="F37">
        <v>1</v>
      </c>
      <c r="G37" s="1"/>
      <c r="H37" s="4">
        <v>0.44097222222222221</v>
      </c>
      <c r="I37" s="4">
        <v>0.44861111111111113</v>
      </c>
      <c r="J37" s="5">
        <v>29.5</v>
      </c>
      <c r="K37" s="5">
        <v>29.8</v>
      </c>
      <c r="L37" t="s">
        <v>30</v>
      </c>
      <c r="M37" t="s">
        <v>30</v>
      </c>
      <c r="N37" t="s">
        <v>35</v>
      </c>
      <c r="O37" t="s">
        <v>35</v>
      </c>
      <c r="P37" t="s">
        <v>28</v>
      </c>
      <c r="Q37" t="s">
        <v>28</v>
      </c>
      <c r="R37" s="1"/>
      <c r="S37">
        <v>0</v>
      </c>
      <c r="T37">
        <v>0</v>
      </c>
      <c r="U37">
        <v>0</v>
      </c>
      <c r="V37">
        <v>0</v>
      </c>
      <c r="W37">
        <v>1</v>
      </c>
      <c r="X37">
        <v>0</v>
      </c>
      <c r="Y37">
        <v>0</v>
      </c>
      <c r="Z37">
        <v>1</v>
      </c>
      <c r="AA37">
        <v>1</v>
      </c>
      <c r="AB37">
        <v>1</v>
      </c>
      <c r="AC37" t="s">
        <v>51</v>
      </c>
      <c r="AD37">
        <v>0</v>
      </c>
      <c r="AE37">
        <v>0</v>
      </c>
    </row>
    <row r="38" spans="1:34" x14ac:dyDescent="0.3">
      <c r="A38" t="s">
        <v>282</v>
      </c>
      <c r="B38" s="17">
        <v>46009</v>
      </c>
      <c r="C38" s="6" t="s">
        <v>236</v>
      </c>
      <c r="D38" s="6">
        <v>2</v>
      </c>
      <c r="E38">
        <v>1</v>
      </c>
      <c r="F38">
        <v>1</v>
      </c>
      <c r="G38" s="1"/>
      <c r="H38" s="4">
        <v>0.44097222222222221</v>
      </c>
      <c r="I38" s="4">
        <v>0.44861111111111113</v>
      </c>
      <c r="J38" s="5">
        <v>29.5</v>
      </c>
      <c r="K38" s="5">
        <v>29.8</v>
      </c>
      <c r="L38" t="s">
        <v>30</v>
      </c>
      <c r="M38" t="s">
        <v>30</v>
      </c>
      <c r="N38" t="s">
        <v>35</v>
      </c>
      <c r="O38" t="s">
        <v>35</v>
      </c>
      <c r="P38" t="s">
        <v>28</v>
      </c>
      <c r="Q38" t="s">
        <v>28</v>
      </c>
      <c r="R38" s="1"/>
      <c r="S38">
        <v>1</v>
      </c>
      <c r="T38">
        <v>0</v>
      </c>
      <c r="U38">
        <v>0</v>
      </c>
      <c r="V38">
        <v>0</v>
      </c>
      <c r="W38">
        <v>0</v>
      </c>
      <c r="X38">
        <v>0</v>
      </c>
      <c r="Y38">
        <v>0</v>
      </c>
      <c r="Z38">
        <v>1</v>
      </c>
      <c r="AA38">
        <v>0</v>
      </c>
      <c r="AB38">
        <v>1</v>
      </c>
      <c r="AD38">
        <v>0</v>
      </c>
      <c r="AE38">
        <v>0</v>
      </c>
    </row>
    <row r="39" spans="1:34" x14ac:dyDescent="0.3">
      <c r="A39" t="s">
        <v>283</v>
      </c>
      <c r="B39" s="17">
        <v>46010</v>
      </c>
      <c r="C39" s="6" t="s">
        <v>238</v>
      </c>
      <c r="D39" s="6">
        <v>3</v>
      </c>
      <c r="E39">
        <v>3</v>
      </c>
      <c r="F39">
        <v>1</v>
      </c>
      <c r="G39" s="1"/>
      <c r="H39" s="4">
        <v>0.44097222222222221</v>
      </c>
      <c r="I39" s="4">
        <v>0.44791666666666669</v>
      </c>
      <c r="J39" s="5">
        <v>31.2</v>
      </c>
      <c r="K39" s="5">
        <v>32.700000000000003</v>
      </c>
      <c r="L39" t="s">
        <v>56</v>
      </c>
      <c r="M39" t="s">
        <v>56</v>
      </c>
      <c r="N39" t="s">
        <v>26</v>
      </c>
      <c r="O39" t="s">
        <v>35</v>
      </c>
      <c r="P39" t="s">
        <v>28</v>
      </c>
      <c r="Q39" t="s">
        <v>28</v>
      </c>
      <c r="R39" s="1"/>
      <c r="S39">
        <v>1</v>
      </c>
      <c r="T39">
        <v>0</v>
      </c>
      <c r="U39">
        <v>0</v>
      </c>
      <c r="V39">
        <v>0</v>
      </c>
      <c r="W39">
        <v>0</v>
      </c>
      <c r="X39">
        <v>0</v>
      </c>
      <c r="Y39">
        <v>0</v>
      </c>
      <c r="Z39">
        <v>1</v>
      </c>
      <c r="AA39">
        <v>1</v>
      </c>
      <c r="AB39">
        <v>1</v>
      </c>
      <c r="AD39">
        <v>0</v>
      </c>
      <c r="AE39">
        <v>0</v>
      </c>
    </row>
    <row r="40" spans="1:34" x14ac:dyDescent="0.3">
      <c r="A40" t="s">
        <v>284</v>
      </c>
      <c r="B40" s="17">
        <v>45997</v>
      </c>
      <c r="C40" s="6" t="s">
        <v>236</v>
      </c>
      <c r="D40" s="6">
        <v>2</v>
      </c>
      <c r="E40">
        <v>1</v>
      </c>
      <c r="F40">
        <v>1</v>
      </c>
      <c r="G40" s="1"/>
      <c r="H40" s="4">
        <v>0.44166666666666665</v>
      </c>
      <c r="I40" s="4">
        <v>0.44930555555555557</v>
      </c>
      <c r="J40" s="5">
        <v>31.4</v>
      </c>
      <c r="K40" s="5">
        <v>32.1</v>
      </c>
      <c r="L40" t="s">
        <v>30</v>
      </c>
      <c r="M40" t="s">
        <v>30</v>
      </c>
      <c r="N40" t="s">
        <v>35</v>
      </c>
      <c r="O40" t="s">
        <v>31</v>
      </c>
      <c r="P40" t="s">
        <v>28</v>
      </c>
      <c r="Q40" t="s">
        <v>28</v>
      </c>
      <c r="R40" s="1"/>
      <c r="S40">
        <v>1</v>
      </c>
      <c r="T40">
        <v>0</v>
      </c>
      <c r="U40">
        <v>0</v>
      </c>
      <c r="V40">
        <v>1</v>
      </c>
      <c r="W40">
        <v>0</v>
      </c>
      <c r="X40">
        <v>0</v>
      </c>
      <c r="Y40">
        <v>0</v>
      </c>
      <c r="Z40">
        <v>1</v>
      </c>
      <c r="AA40">
        <v>0</v>
      </c>
      <c r="AB40">
        <v>1</v>
      </c>
      <c r="AC40" t="s">
        <v>66</v>
      </c>
      <c r="AD40">
        <v>0</v>
      </c>
      <c r="AE40">
        <v>0</v>
      </c>
    </row>
    <row r="41" spans="1:34" x14ac:dyDescent="0.3">
      <c r="A41" t="s">
        <v>285</v>
      </c>
      <c r="B41" s="17">
        <v>46010</v>
      </c>
      <c r="C41" s="6" t="s">
        <v>238</v>
      </c>
      <c r="D41" s="6">
        <v>3</v>
      </c>
      <c r="E41">
        <v>3</v>
      </c>
      <c r="F41">
        <v>1</v>
      </c>
      <c r="G41" s="1"/>
      <c r="H41" s="4">
        <v>0.44305555555555554</v>
      </c>
      <c r="I41" s="4">
        <v>0.44861111111111113</v>
      </c>
      <c r="J41" s="5">
        <v>31.2</v>
      </c>
      <c r="K41" s="5">
        <v>32.700000000000003</v>
      </c>
      <c r="L41" t="s">
        <v>56</v>
      </c>
      <c r="M41" t="s">
        <v>56</v>
      </c>
      <c r="N41" t="s">
        <v>26</v>
      </c>
      <c r="O41" t="s">
        <v>35</v>
      </c>
      <c r="P41" t="s">
        <v>28</v>
      </c>
      <c r="Q41" t="s">
        <v>28</v>
      </c>
      <c r="R41" s="1"/>
      <c r="S41">
        <v>0</v>
      </c>
      <c r="T41">
        <v>0</v>
      </c>
      <c r="U41">
        <v>0</v>
      </c>
      <c r="V41">
        <v>0</v>
      </c>
      <c r="W41">
        <v>0</v>
      </c>
      <c r="X41">
        <v>0</v>
      </c>
      <c r="Y41">
        <v>0</v>
      </c>
      <c r="Z41">
        <v>1</v>
      </c>
      <c r="AA41">
        <v>0</v>
      </c>
      <c r="AB41">
        <v>1</v>
      </c>
      <c r="AD41">
        <v>0</v>
      </c>
      <c r="AE41">
        <v>0</v>
      </c>
    </row>
    <row r="42" spans="1:34" x14ac:dyDescent="0.3">
      <c r="A42" t="s">
        <v>286</v>
      </c>
      <c r="B42" s="17">
        <v>45964</v>
      </c>
      <c r="C42" s="6" t="s">
        <v>236</v>
      </c>
      <c r="D42" s="6">
        <v>1</v>
      </c>
      <c r="E42">
        <v>1</v>
      </c>
      <c r="F42">
        <v>1</v>
      </c>
      <c r="G42" s="1"/>
      <c r="H42" s="4">
        <v>0.4465277777777778</v>
      </c>
      <c r="I42" s="4">
        <v>0.45347222222222222</v>
      </c>
      <c r="J42" s="5">
        <v>23</v>
      </c>
      <c r="K42" s="5">
        <v>23</v>
      </c>
      <c r="L42" t="s">
        <v>25</v>
      </c>
      <c r="M42" s="2" t="s">
        <v>92</v>
      </c>
      <c r="N42" t="s">
        <v>26</v>
      </c>
      <c r="O42" s="2" t="s">
        <v>92</v>
      </c>
      <c r="P42" s="2" t="s">
        <v>92</v>
      </c>
      <c r="Q42" s="2" t="s">
        <v>92</v>
      </c>
      <c r="R42" s="1"/>
      <c r="S42">
        <v>1</v>
      </c>
      <c r="T42">
        <v>0</v>
      </c>
      <c r="U42">
        <v>1</v>
      </c>
      <c r="V42">
        <v>1</v>
      </c>
      <c r="W42">
        <v>0</v>
      </c>
      <c r="X42">
        <v>0</v>
      </c>
      <c r="Y42">
        <v>0</v>
      </c>
      <c r="Z42">
        <v>1</v>
      </c>
      <c r="AA42">
        <v>1</v>
      </c>
      <c r="AB42">
        <v>0</v>
      </c>
      <c r="AC42" t="s">
        <v>141</v>
      </c>
      <c r="AD42">
        <v>0</v>
      </c>
      <c r="AE42">
        <v>0</v>
      </c>
    </row>
    <row r="43" spans="1:34" x14ac:dyDescent="0.3">
      <c r="A43" t="s">
        <v>287</v>
      </c>
      <c r="B43" s="17">
        <v>45964</v>
      </c>
      <c r="C43" s="6" t="s">
        <v>236</v>
      </c>
      <c r="D43" s="6">
        <v>1</v>
      </c>
      <c r="E43">
        <v>1</v>
      </c>
      <c r="F43">
        <v>1</v>
      </c>
      <c r="G43" s="1"/>
      <c r="H43" s="4">
        <v>0.4465277777777778</v>
      </c>
      <c r="I43" s="4">
        <v>0.45347222222222222</v>
      </c>
      <c r="J43" s="5">
        <v>23</v>
      </c>
      <c r="K43" s="5">
        <v>23</v>
      </c>
      <c r="L43" t="s">
        <v>25</v>
      </c>
      <c r="M43" s="2" t="s">
        <v>92</v>
      </c>
      <c r="N43" t="s">
        <v>26</v>
      </c>
      <c r="O43" s="2" t="s">
        <v>92</v>
      </c>
      <c r="P43" s="2" t="s">
        <v>92</v>
      </c>
      <c r="Q43" s="2" t="s">
        <v>92</v>
      </c>
      <c r="R43" s="1"/>
      <c r="S43">
        <v>0</v>
      </c>
      <c r="T43">
        <v>0</v>
      </c>
      <c r="U43">
        <v>1</v>
      </c>
      <c r="V43">
        <v>1</v>
      </c>
      <c r="W43">
        <v>0</v>
      </c>
      <c r="X43">
        <v>0</v>
      </c>
      <c r="Y43">
        <v>0</v>
      </c>
      <c r="Z43">
        <v>0</v>
      </c>
      <c r="AA43">
        <v>1</v>
      </c>
      <c r="AB43">
        <v>0</v>
      </c>
      <c r="AC43" t="s">
        <v>187</v>
      </c>
      <c r="AD43">
        <v>0</v>
      </c>
      <c r="AE43">
        <v>0</v>
      </c>
      <c r="AF43" s="2" t="s">
        <v>152</v>
      </c>
    </row>
    <row r="44" spans="1:34" x14ac:dyDescent="0.3">
      <c r="A44" t="s">
        <v>288</v>
      </c>
      <c r="B44" s="17">
        <v>45999</v>
      </c>
      <c r="C44" s="6" t="s">
        <v>236</v>
      </c>
      <c r="D44" s="6">
        <v>1</v>
      </c>
      <c r="E44">
        <v>2</v>
      </c>
      <c r="F44">
        <v>1</v>
      </c>
      <c r="G44" s="1"/>
      <c r="H44" s="4">
        <v>0.4465277777777778</v>
      </c>
      <c r="I44" s="4">
        <v>0.45347222222222222</v>
      </c>
      <c r="J44" s="5">
        <v>21.1</v>
      </c>
      <c r="K44" s="5">
        <v>20.8</v>
      </c>
      <c r="L44" t="s">
        <v>27</v>
      </c>
      <c r="M44" t="s">
        <v>27</v>
      </c>
      <c r="N44" t="s">
        <v>35</v>
      </c>
      <c r="O44" t="s">
        <v>31</v>
      </c>
      <c r="P44" t="s">
        <v>28</v>
      </c>
      <c r="Q44" t="s">
        <v>28</v>
      </c>
      <c r="R44" s="1"/>
      <c r="S44">
        <v>0</v>
      </c>
      <c r="T44">
        <v>0</v>
      </c>
      <c r="U44">
        <v>0</v>
      </c>
      <c r="V44">
        <v>1</v>
      </c>
      <c r="W44">
        <v>0</v>
      </c>
      <c r="X44">
        <v>0</v>
      </c>
      <c r="Y44">
        <v>0</v>
      </c>
      <c r="Z44">
        <v>1</v>
      </c>
      <c r="AA44">
        <v>0</v>
      </c>
      <c r="AB44">
        <v>1</v>
      </c>
      <c r="AC44" t="s">
        <v>60</v>
      </c>
      <c r="AD44">
        <v>0</v>
      </c>
      <c r="AE44">
        <v>0</v>
      </c>
    </row>
    <row r="45" spans="1:34" x14ac:dyDescent="0.3">
      <c r="A45" t="s">
        <v>289</v>
      </c>
      <c r="B45" s="17">
        <v>45999</v>
      </c>
      <c r="C45" s="6" t="s">
        <v>236</v>
      </c>
      <c r="D45" s="6">
        <v>1</v>
      </c>
      <c r="E45">
        <v>2</v>
      </c>
      <c r="F45">
        <v>1</v>
      </c>
      <c r="G45" s="1"/>
      <c r="H45" s="4">
        <v>0.4465277777777778</v>
      </c>
      <c r="I45" s="4">
        <v>0.45347222222222222</v>
      </c>
      <c r="J45" s="5">
        <v>21.1</v>
      </c>
      <c r="K45" s="5">
        <v>20.8</v>
      </c>
      <c r="L45" t="s">
        <v>27</v>
      </c>
      <c r="M45" t="s">
        <v>27</v>
      </c>
      <c r="N45" t="s">
        <v>35</v>
      </c>
      <c r="O45" t="s">
        <v>31</v>
      </c>
      <c r="P45" t="s">
        <v>28</v>
      </c>
      <c r="Q45" t="s">
        <v>28</v>
      </c>
      <c r="R45" s="1"/>
      <c r="S45">
        <v>1</v>
      </c>
      <c r="T45">
        <v>0</v>
      </c>
      <c r="U45">
        <v>0</v>
      </c>
      <c r="V45">
        <v>1</v>
      </c>
      <c r="W45">
        <v>1</v>
      </c>
      <c r="X45">
        <v>0</v>
      </c>
      <c r="Y45">
        <v>0</v>
      </c>
      <c r="Z45">
        <v>1</v>
      </c>
      <c r="AA45">
        <v>1</v>
      </c>
      <c r="AB45">
        <v>1</v>
      </c>
      <c r="AC45" t="s">
        <v>61</v>
      </c>
      <c r="AD45">
        <v>0</v>
      </c>
      <c r="AE45">
        <v>0</v>
      </c>
    </row>
    <row r="46" spans="1:34" x14ac:dyDescent="0.3">
      <c r="A46" t="s">
        <v>290</v>
      </c>
      <c r="B46" s="17">
        <v>46001</v>
      </c>
      <c r="C46" s="6" t="s">
        <v>238</v>
      </c>
      <c r="D46" s="6">
        <v>3</v>
      </c>
      <c r="E46">
        <v>3</v>
      </c>
      <c r="F46">
        <v>1</v>
      </c>
      <c r="G46" s="1"/>
      <c r="H46" s="4">
        <v>0.4465277777777778</v>
      </c>
      <c r="I46" s="4">
        <v>0.45347222222222222</v>
      </c>
      <c r="J46" s="5">
        <v>20.5</v>
      </c>
      <c r="K46" s="5">
        <v>20.3</v>
      </c>
      <c r="L46" t="s">
        <v>50</v>
      </c>
      <c r="M46" t="s">
        <v>50</v>
      </c>
      <c r="N46" t="s">
        <v>26</v>
      </c>
      <c r="O46" t="s">
        <v>26</v>
      </c>
      <c r="P46" t="s">
        <v>28</v>
      </c>
      <c r="Q46" t="s">
        <v>28</v>
      </c>
      <c r="R46" s="1"/>
      <c r="S46">
        <v>1</v>
      </c>
      <c r="T46">
        <v>0</v>
      </c>
      <c r="U46">
        <v>0</v>
      </c>
      <c r="V46">
        <v>1</v>
      </c>
      <c r="W46">
        <v>1</v>
      </c>
      <c r="X46">
        <v>1</v>
      </c>
      <c r="Y46">
        <v>0</v>
      </c>
      <c r="Z46">
        <v>1</v>
      </c>
      <c r="AA46">
        <v>1</v>
      </c>
      <c r="AB46">
        <v>1</v>
      </c>
      <c r="AD46">
        <v>0</v>
      </c>
      <c r="AE46">
        <v>0</v>
      </c>
    </row>
    <row r="47" spans="1:34" x14ac:dyDescent="0.3">
      <c r="A47" t="s">
        <v>291</v>
      </c>
      <c r="B47" s="17">
        <v>46001</v>
      </c>
      <c r="C47" s="6" t="s">
        <v>238</v>
      </c>
      <c r="D47" s="6">
        <v>3</v>
      </c>
      <c r="E47">
        <v>3</v>
      </c>
      <c r="F47">
        <v>1</v>
      </c>
      <c r="G47" s="1"/>
      <c r="H47" s="4">
        <v>0.4465277777777778</v>
      </c>
      <c r="I47" s="4">
        <v>0.45347222222222222</v>
      </c>
      <c r="J47" s="5">
        <v>20.5</v>
      </c>
      <c r="K47" s="5">
        <v>20.3</v>
      </c>
      <c r="L47" t="s">
        <v>50</v>
      </c>
      <c r="M47" t="s">
        <v>50</v>
      </c>
      <c r="N47" t="s">
        <v>26</v>
      </c>
      <c r="O47" t="s">
        <v>26</v>
      </c>
      <c r="P47" t="s">
        <v>28</v>
      </c>
      <c r="Q47" t="s">
        <v>28</v>
      </c>
      <c r="R47" s="1"/>
      <c r="S47">
        <v>1</v>
      </c>
      <c r="T47">
        <v>0</v>
      </c>
      <c r="U47">
        <v>0</v>
      </c>
      <c r="V47">
        <v>1</v>
      </c>
      <c r="W47">
        <v>1</v>
      </c>
      <c r="X47">
        <v>0</v>
      </c>
      <c r="Y47">
        <v>0</v>
      </c>
      <c r="Z47">
        <v>1</v>
      </c>
      <c r="AA47">
        <v>1</v>
      </c>
      <c r="AB47">
        <v>1</v>
      </c>
      <c r="AC47" t="s">
        <v>212</v>
      </c>
      <c r="AD47">
        <v>0</v>
      </c>
      <c r="AE47">
        <v>0</v>
      </c>
    </row>
    <row r="48" spans="1:34" x14ac:dyDescent="0.3">
      <c r="A48" t="s">
        <v>292</v>
      </c>
      <c r="B48" s="17">
        <v>45994</v>
      </c>
      <c r="C48" s="6" t="s">
        <v>237</v>
      </c>
      <c r="D48" s="6">
        <v>1</v>
      </c>
      <c r="E48">
        <v>1</v>
      </c>
      <c r="F48">
        <v>1</v>
      </c>
      <c r="G48" s="1"/>
      <c r="H48" s="4">
        <v>0.44861111111111113</v>
      </c>
      <c r="I48" s="4">
        <v>0.45555555555555555</v>
      </c>
      <c r="J48" s="5">
        <v>20.100000000000001</v>
      </c>
      <c r="K48" s="5">
        <v>20.399999999999999</v>
      </c>
      <c r="L48" t="s">
        <v>50</v>
      </c>
      <c r="M48" t="s">
        <v>50</v>
      </c>
      <c r="N48" t="s">
        <v>26</v>
      </c>
      <c r="O48" t="s">
        <v>26</v>
      </c>
      <c r="P48" t="s">
        <v>28</v>
      </c>
      <c r="Q48" t="s">
        <v>28</v>
      </c>
      <c r="R48" s="1"/>
      <c r="S48">
        <v>1</v>
      </c>
      <c r="T48">
        <v>1</v>
      </c>
      <c r="U48">
        <v>1</v>
      </c>
      <c r="V48">
        <v>1</v>
      </c>
      <c r="W48">
        <v>0</v>
      </c>
      <c r="X48">
        <v>0</v>
      </c>
      <c r="Y48">
        <v>1</v>
      </c>
      <c r="Z48">
        <v>1</v>
      </c>
      <c r="AA48">
        <v>0</v>
      </c>
      <c r="AB48">
        <v>1</v>
      </c>
      <c r="AC48" t="s">
        <v>215</v>
      </c>
      <c r="AD48">
        <v>5</v>
      </c>
      <c r="AE48">
        <v>0</v>
      </c>
      <c r="AF48" t="s">
        <v>88</v>
      </c>
      <c r="AH48" t="s">
        <v>89</v>
      </c>
    </row>
    <row r="49" spans="1:34" x14ac:dyDescent="0.3">
      <c r="A49" t="s">
        <v>293</v>
      </c>
      <c r="B49" s="17">
        <v>45994</v>
      </c>
      <c r="C49" s="6" t="s">
        <v>237</v>
      </c>
      <c r="D49" s="6">
        <v>1</v>
      </c>
      <c r="E49">
        <v>1</v>
      </c>
      <c r="F49">
        <v>1</v>
      </c>
      <c r="G49" s="1"/>
      <c r="H49" s="4">
        <v>0.44861111111111113</v>
      </c>
      <c r="I49" s="4">
        <v>0.45555555555555555</v>
      </c>
      <c r="J49" s="5">
        <v>20.100000000000001</v>
      </c>
      <c r="K49" s="5">
        <v>20.399999999999999</v>
      </c>
      <c r="L49" t="s">
        <v>50</v>
      </c>
      <c r="M49" t="s">
        <v>50</v>
      </c>
      <c r="N49" t="s">
        <v>26</v>
      </c>
      <c r="O49" t="s">
        <v>26</v>
      </c>
      <c r="P49" t="s">
        <v>28</v>
      </c>
      <c r="Q49" t="s">
        <v>28</v>
      </c>
      <c r="R49" s="1"/>
      <c r="S49">
        <v>1</v>
      </c>
      <c r="T49">
        <v>0</v>
      </c>
      <c r="U49">
        <v>1</v>
      </c>
      <c r="V49">
        <v>1</v>
      </c>
      <c r="W49">
        <v>1</v>
      </c>
      <c r="X49">
        <v>0</v>
      </c>
      <c r="Y49">
        <v>0</v>
      </c>
      <c r="Z49">
        <v>1</v>
      </c>
      <c r="AA49">
        <v>1</v>
      </c>
      <c r="AB49">
        <v>1</v>
      </c>
      <c r="AD49">
        <v>4</v>
      </c>
      <c r="AE49">
        <v>0</v>
      </c>
      <c r="AF49" t="s">
        <v>78</v>
      </c>
      <c r="AH49" t="s">
        <v>89</v>
      </c>
    </row>
    <row r="50" spans="1:34" x14ac:dyDescent="0.3">
      <c r="A50" t="s">
        <v>294</v>
      </c>
      <c r="B50" s="17">
        <v>45979</v>
      </c>
      <c r="C50" s="6" t="s">
        <v>237</v>
      </c>
      <c r="D50" s="6">
        <v>2</v>
      </c>
      <c r="E50">
        <v>1</v>
      </c>
      <c r="F50">
        <v>1</v>
      </c>
      <c r="G50" s="1"/>
      <c r="H50" s="4">
        <v>0.45</v>
      </c>
      <c r="I50" s="4">
        <v>0.45694444444444443</v>
      </c>
      <c r="J50" s="5">
        <v>18.3</v>
      </c>
      <c r="K50" s="5">
        <v>19.2</v>
      </c>
      <c r="L50" t="s">
        <v>50</v>
      </c>
      <c r="M50" t="s">
        <v>50</v>
      </c>
      <c r="N50" t="s">
        <v>26</v>
      </c>
      <c r="O50" s="2" t="s">
        <v>92</v>
      </c>
      <c r="P50" t="s">
        <v>28</v>
      </c>
      <c r="Q50" t="s">
        <v>28</v>
      </c>
      <c r="R50" s="1"/>
      <c r="S50">
        <v>1</v>
      </c>
      <c r="T50">
        <v>1</v>
      </c>
      <c r="U50">
        <v>1</v>
      </c>
      <c r="V50">
        <v>1</v>
      </c>
      <c r="W50">
        <v>0</v>
      </c>
      <c r="X50">
        <v>1</v>
      </c>
      <c r="Y50">
        <v>0</v>
      </c>
      <c r="Z50">
        <v>1</v>
      </c>
      <c r="AA50">
        <v>1</v>
      </c>
      <c r="AB50">
        <v>1</v>
      </c>
      <c r="AC50" t="s">
        <v>51</v>
      </c>
      <c r="AD50">
        <v>0</v>
      </c>
      <c r="AE50">
        <v>0</v>
      </c>
    </row>
    <row r="51" spans="1:34" x14ac:dyDescent="0.3">
      <c r="A51" t="s">
        <v>295</v>
      </c>
      <c r="B51" s="17">
        <v>45979</v>
      </c>
      <c r="C51" s="6" t="s">
        <v>237</v>
      </c>
      <c r="D51" s="6">
        <v>4</v>
      </c>
      <c r="E51">
        <v>1</v>
      </c>
      <c r="F51">
        <v>1</v>
      </c>
      <c r="G51" s="1"/>
      <c r="H51" s="4">
        <v>0.45</v>
      </c>
      <c r="I51" s="4">
        <v>0.45833333333333331</v>
      </c>
      <c r="J51" s="5">
        <v>18.3</v>
      </c>
      <c r="K51" s="5">
        <v>19.2</v>
      </c>
      <c r="L51" t="s">
        <v>50</v>
      </c>
      <c r="M51" t="s">
        <v>50</v>
      </c>
      <c r="N51" t="s">
        <v>26</v>
      </c>
      <c r="O51" s="2" t="s">
        <v>92</v>
      </c>
      <c r="P51" t="s">
        <v>28</v>
      </c>
      <c r="Q51" t="s">
        <v>28</v>
      </c>
      <c r="R51" s="1"/>
      <c r="S51">
        <v>1</v>
      </c>
      <c r="T51">
        <v>0</v>
      </c>
      <c r="U51">
        <v>1</v>
      </c>
      <c r="V51">
        <v>1</v>
      </c>
      <c r="W51">
        <v>0</v>
      </c>
      <c r="X51">
        <v>0</v>
      </c>
      <c r="Y51">
        <v>0</v>
      </c>
      <c r="Z51">
        <v>1</v>
      </c>
      <c r="AA51">
        <v>0</v>
      </c>
      <c r="AB51">
        <v>1</v>
      </c>
      <c r="AC51" t="s">
        <v>192</v>
      </c>
      <c r="AD51">
        <v>0</v>
      </c>
      <c r="AE51">
        <v>0</v>
      </c>
    </row>
    <row r="52" spans="1:34" x14ac:dyDescent="0.3">
      <c r="A52" t="s">
        <v>296</v>
      </c>
      <c r="B52" s="17">
        <v>46009</v>
      </c>
      <c r="C52" s="6" t="s">
        <v>236</v>
      </c>
      <c r="D52" s="6">
        <v>2</v>
      </c>
      <c r="E52">
        <v>1</v>
      </c>
      <c r="F52">
        <v>2</v>
      </c>
      <c r="G52" s="1"/>
      <c r="H52" s="4">
        <v>0.45</v>
      </c>
      <c r="I52" s="4">
        <v>0.45694444444444443</v>
      </c>
      <c r="J52" s="5">
        <v>29.8</v>
      </c>
      <c r="K52" s="5">
        <v>30.4</v>
      </c>
      <c r="L52" t="s">
        <v>30</v>
      </c>
      <c r="M52" t="s">
        <v>30</v>
      </c>
      <c r="N52" t="s">
        <v>35</v>
      </c>
      <c r="O52" t="s">
        <v>35</v>
      </c>
      <c r="P52" t="s">
        <v>28</v>
      </c>
      <c r="Q52" t="s">
        <v>28</v>
      </c>
      <c r="R52" s="1"/>
      <c r="S52">
        <v>1</v>
      </c>
      <c r="T52">
        <v>0</v>
      </c>
      <c r="U52">
        <v>0</v>
      </c>
      <c r="V52">
        <v>1</v>
      </c>
      <c r="W52">
        <v>1</v>
      </c>
      <c r="X52">
        <v>0</v>
      </c>
      <c r="Y52">
        <v>0</v>
      </c>
      <c r="Z52">
        <v>1</v>
      </c>
      <c r="AA52">
        <v>1</v>
      </c>
      <c r="AB52">
        <v>1</v>
      </c>
      <c r="AD52">
        <v>0</v>
      </c>
      <c r="AE52">
        <v>0</v>
      </c>
    </row>
    <row r="53" spans="1:34" x14ac:dyDescent="0.3">
      <c r="A53" t="s">
        <v>297</v>
      </c>
      <c r="B53" s="17">
        <v>46009</v>
      </c>
      <c r="C53" s="6" t="s">
        <v>236</v>
      </c>
      <c r="D53" s="6">
        <v>2</v>
      </c>
      <c r="E53">
        <v>1</v>
      </c>
      <c r="F53">
        <v>2</v>
      </c>
      <c r="G53" s="1"/>
      <c r="H53" s="4">
        <v>0.45</v>
      </c>
      <c r="I53" s="4">
        <v>0.45763888888888887</v>
      </c>
      <c r="J53" s="5">
        <v>29.8</v>
      </c>
      <c r="K53" s="5">
        <v>30.4</v>
      </c>
      <c r="L53" t="s">
        <v>30</v>
      </c>
      <c r="M53" t="s">
        <v>30</v>
      </c>
      <c r="N53" t="s">
        <v>35</v>
      </c>
      <c r="O53" t="s">
        <v>26</v>
      </c>
      <c r="P53" t="s">
        <v>28</v>
      </c>
      <c r="Q53" t="s">
        <v>28</v>
      </c>
      <c r="R53" s="1"/>
      <c r="S53">
        <v>1</v>
      </c>
      <c r="T53">
        <v>0</v>
      </c>
      <c r="U53">
        <v>0</v>
      </c>
      <c r="V53">
        <v>1</v>
      </c>
      <c r="W53">
        <v>1</v>
      </c>
      <c r="X53">
        <v>0</v>
      </c>
      <c r="Y53">
        <v>0</v>
      </c>
      <c r="Z53">
        <v>1</v>
      </c>
      <c r="AA53">
        <v>0</v>
      </c>
      <c r="AB53">
        <v>1</v>
      </c>
      <c r="AC53" t="s">
        <v>34</v>
      </c>
      <c r="AD53">
        <v>0</v>
      </c>
      <c r="AE53">
        <v>0</v>
      </c>
    </row>
    <row r="54" spans="1:34" x14ac:dyDescent="0.3">
      <c r="A54" t="s">
        <v>298</v>
      </c>
      <c r="B54" s="17">
        <v>45997</v>
      </c>
      <c r="C54" s="6" t="s">
        <v>236</v>
      </c>
      <c r="D54" s="6">
        <v>2</v>
      </c>
      <c r="E54">
        <v>1</v>
      </c>
      <c r="F54">
        <v>2</v>
      </c>
      <c r="G54" s="1"/>
      <c r="H54" s="4">
        <v>0.45069444444444445</v>
      </c>
      <c r="I54" s="4">
        <v>0.45833333333333331</v>
      </c>
      <c r="J54" s="5">
        <v>32.1</v>
      </c>
      <c r="K54" s="5">
        <v>31.9</v>
      </c>
      <c r="L54" t="s">
        <v>30</v>
      </c>
      <c r="M54" t="s">
        <v>32</v>
      </c>
      <c r="N54" t="s">
        <v>31</v>
      </c>
      <c r="O54" t="s">
        <v>35</v>
      </c>
      <c r="P54" t="s">
        <v>28</v>
      </c>
      <c r="Q54" t="s">
        <v>28</v>
      </c>
      <c r="R54" s="1"/>
      <c r="S54">
        <v>1</v>
      </c>
      <c r="T54">
        <v>0</v>
      </c>
      <c r="U54">
        <v>0</v>
      </c>
      <c r="V54">
        <v>1</v>
      </c>
      <c r="W54">
        <v>0</v>
      </c>
      <c r="X54">
        <v>0</v>
      </c>
      <c r="Y54">
        <v>1</v>
      </c>
      <c r="Z54">
        <v>1</v>
      </c>
      <c r="AA54">
        <v>0</v>
      </c>
      <c r="AB54">
        <v>1</v>
      </c>
      <c r="AD54">
        <v>2</v>
      </c>
      <c r="AE54">
        <v>0</v>
      </c>
      <c r="AF54" t="s">
        <v>67</v>
      </c>
    </row>
    <row r="55" spans="1:34" x14ac:dyDescent="0.3">
      <c r="A55" t="s">
        <v>299</v>
      </c>
      <c r="B55" s="17">
        <v>45980</v>
      </c>
      <c r="C55" s="6" t="s">
        <v>236</v>
      </c>
      <c r="D55" s="6" t="s">
        <v>242</v>
      </c>
      <c r="E55">
        <v>1</v>
      </c>
      <c r="F55">
        <v>2</v>
      </c>
      <c r="G55" s="1"/>
      <c r="H55" s="4">
        <v>0.4513888888888889</v>
      </c>
      <c r="I55" s="4">
        <v>0.46319444444444446</v>
      </c>
      <c r="J55" s="5">
        <v>23.3</v>
      </c>
      <c r="K55" s="5">
        <v>23</v>
      </c>
      <c r="L55" t="s">
        <v>50</v>
      </c>
      <c r="M55" t="s">
        <v>50</v>
      </c>
      <c r="N55" t="s">
        <v>35</v>
      </c>
      <c r="O55" s="2" t="s">
        <v>92</v>
      </c>
      <c r="P55" t="s">
        <v>28</v>
      </c>
      <c r="Q55" t="s">
        <v>28</v>
      </c>
      <c r="R55" s="1"/>
      <c r="S55">
        <v>1</v>
      </c>
      <c r="T55">
        <v>0</v>
      </c>
      <c r="U55">
        <v>1</v>
      </c>
      <c r="V55">
        <v>1</v>
      </c>
      <c r="W55">
        <v>0</v>
      </c>
      <c r="X55">
        <v>1</v>
      </c>
      <c r="Y55">
        <v>0</v>
      </c>
      <c r="Z55">
        <v>1</v>
      </c>
      <c r="AA55">
        <v>1</v>
      </c>
      <c r="AB55">
        <v>0</v>
      </c>
      <c r="AC55" t="s">
        <v>117</v>
      </c>
      <c r="AD55">
        <v>3</v>
      </c>
      <c r="AE55">
        <v>0</v>
      </c>
      <c r="AF55" t="s">
        <v>118</v>
      </c>
    </row>
    <row r="56" spans="1:34" x14ac:dyDescent="0.3">
      <c r="A56" t="s">
        <v>300</v>
      </c>
      <c r="B56" s="17">
        <v>45980</v>
      </c>
      <c r="C56" s="6" t="s">
        <v>236</v>
      </c>
      <c r="D56" s="6" t="s">
        <v>242</v>
      </c>
      <c r="E56">
        <v>1</v>
      </c>
      <c r="F56">
        <v>1</v>
      </c>
      <c r="G56" s="1"/>
      <c r="H56" s="4">
        <v>0.4513888888888889</v>
      </c>
      <c r="I56" s="4">
        <v>0.45833333333333331</v>
      </c>
      <c r="J56" s="5">
        <v>23.3</v>
      </c>
      <c r="K56" s="5">
        <v>23.6</v>
      </c>
      <c r="L56" t="s">
        <v>50</v>
      </c>
      <c r="M56" t="s">
        <v>50</v>
      </c>
      <c r="N56" t="s">
        <v>26</v>
      </c>
      <c r="O56" s="2" t="s">
        <v>92</v>
      </c>
      <c r="P56" t="s">
        <v>28</v>
      </c>
      <c r="Q56" t="s">
        <v>28</v>
      </c>
      <c r="R56" s="1"/>
      <c r="S56">
        <v>1</v>
      </c>
      <c r="T56">
        <v>0</v>
      </c>
      <c r="U56">
        <v>0</v>
      </c>
      <c r="V56">
        <v>1</v>
      </c>
      <c r="W56">
        <v>0</v>
      </c>
      <c r="X56">
        <v>0</v>
      </c>
      <c r="Y56">
        <v>0</v>
      </c>
      <c r="Z56">
        <v>1</v>
      </c>
      <c r="AA56">
        <v>1</v>
      </c>
      <c r="AB56">
        <v>1</v>
      </c>
      <c r="AC56" t="s">
        <v>106</v>
      </c>
      <c r="AD56">
        <v>1</v>
      </c>
      <c r="AE56">
        <v>0</v>
      </c>
      <c r="AF56" t="s">
        <v>115</v>
      </c>
    </row>
    <row r="57" spans="1:34" x14ac:dyDescent="0.3">
      <c r="A57" t="s">
        <v>301</v>
      </c>
      <c r="B57" s="17">
        <v>46007</v>
      </c>
      <c r="C57" s="6" t="s">
        <v>237</v>
      </c>
      <c r="D57" s="6">
        <v>1</v>
      </c>
      <c r="E57">
        <v>1</v>
      </c>
      <c r="F57">
        <v>1</v>
      </c>
      <c r="G57" s="1"/>
      <c r="H57" s="4">
        <v>0.4513888888888889</v>
      </c>
      <c r="I57" s="4">
        <v>0.45902777777777776</v>
      </c>
      <c r="J57" s="5">
        <v>19.2</v>
      </c>
      <c r="K57" s="5">
        <v>18.899999999999999</v>
      </c>
      <c r="L57" t="s">
        <v>32</v>
      </c>
      <c r="M57" t="s">
        <v>32</v>
      </c>
      <c r="N57" t="s">
        <v>37</v>
      </c>
      <c r="O57" t="s">
        <v>26</v>
      </c>
      <c r="P57" t="s">
        <v>28</v>
      </c>
      <c r="Q57" t="s">
        <v>28</v>
      </c>
      <c r="R57" s="1"/>
      <c r="S57">
        <v>1</v>
      </c>
      <c r="T57">
        <v>0</v>
      </c>
      <c r="U57">
        <v>0</v>
      </c>
      <c r="V57">
        <v>1</v>
      </c>
      <c r="W57">
        <v>1</v>
      </c>
      <c r="X57">
        <v>0</v>
      </c>
      <c r="Y57">
        <v>0</v>
      </c>
      <c r="Z57">
        <v>0</v>
      </c>
      <c r="AA57">
        <v>0</v>
      </c>
      <c r="AB57">
        <v>1</v>
      </c>
      <c r="AC57" t="s">
        <v>216</v>
      </c>
      <c r="AD57">
        <v>0</v>
      </c>
      <c r="AE57">
        <v>0</v>
      </c>
    </row>
    <row r="58" spans="1:34" x14ac:dyDescent="0.3">
      <c r="A58" t="s">
        <v>302</v>
      </c>
      <c r="B58" s="17">
        <v>46007</v>
      </c>
      <c r="C58" s="6" t="s">
        <v>237</v>
      </c>
      <c r="D58" s="6">
        <v>1</v>
      </c>
      <c r="E58">
        <v>1</v>
      </c>
      <c r="F58">
        <v>1</v>
      </c>
      <c r="G58" s="1"/>
      <c r="H58" s="4">
        <v>0.4513888888888889</v>
      </c>
      <c r="I58" s="4">
        <v>0.45833333333333331</v>
      </c>
      <c r="J58" s="5">
        <v>19.2</v>
      </c>
      <c r="K58" s="5">
        <v>18.899999999999999</v>
      </c>
      <c r="L58" t="s">
        <v>32</v>
      </c>
      <c r="M58" t="s">
        <v>32</v>
      </c>
      <c r="N58" t="s">
        <v>37</v>
      </c>
      <c r="O58" t="s">
        <v>26</v>
      </c>
      <c r="P58" t="s">
        <v>28</v>
      </c>
      <c r="Q58" t="s">
        <v>28</v>
      </c>
      <c r="R58" s="1"/>
      <c r="S58">
        <v>1</v>
      </c>
      <c r="T58">
        <v>0</v>
      </c>
      <c r="U58">
        <v>1</v>
      </c>
      <c r="V58">
        <v>1</v>
      </c>
      <c r="W58">
        <v>1</v>
      </c>
      <c r="X58">
        <v>0</v>
      </c>
      <c r="Y58">
        <v>0</v>
      </c>
      <c r="Z58">
        <v>1</v>
      </c>
      <c r="AA58">
        <v>0</v>
      </c>
      <c r="AB58">
        <v>1</v>
      </c>
      <c r="AC58" t="s">
        <v>183</v>
      </c>
      <c r="AD58">
        <v>0</v>
      </c>
      <c r="AE58">
        <v>0</v>
      </c>
    </row>
    <row r="59" spans="1:34" x14ac:dyDescent="0.3">
      <c r="A59" t="s">
        <v>303</v>
      </c>
      <c r="B59" s="17">
        <v>46002</v>
      </c>
      <c r="C59" s="6" t="s">
        <v>237</v>
      </c>
      <c r="D59" s="6">
        <v>2</v>
      </c>
      <c r="E59">
        <v>1</v>
      </c>
      <c r="F59">
        <v>2</v>
      </c>
      <c r="G59" s="1"/>
      <c r="H59" s="4">
        <v>0.45208333333333334</v>
      </c>
      <c r="I59" s="4">
        <v>0.4597222222222222</v>
      </c>
      <c r="J59" s="5">
        <v>19.2</v>
      </c>
      <c r="K59" s="5">
        <v>19.5</v>
      </c>
      <c r="L59" t="s">
        <v>25</v>
      </c>
      <c r="M59" t="s">
        <v>25</v>
      </c>
      <c r="N59" t="s">
        <v>26</v>
      </c>
      <c r="O59" t="s">
        <v>37</v>
      </c>
      <c r="P59" t="s">
        <v>28</v>
      </c>
      <c r="Q59" t="s">
        <v>28</v>
      </c>
      <c r="R59" s="1"/>
      <c r="S59">
        <v>1</v>
      </c>
      <c r="T59">
        <v>0</v>
      </c>
      <c r="U59">
        <v>1</v>
      </c>
      <c r="V59">
        <v>1</v>
      </c>
      <c r="W59">
        <v>0</v>
      </c>
      <c r="X59">
        <v>0</v>
      </c>
      <c r="Y59">
        <v>0</v>
      </c>
      <c r="Z59">
        <v>0</v>
      </c>
      <c r="AA59">
        <v>0</v>
      </c>
      <c r="AB59">
        <v>1</v>
      </c>
      <c r="AD59">
        <v>0</v>
      </c>
      <c r="AE59">
        <v>0</v>
      </c>
    </row>
    <row r="60" spans="1:34" x14ac:dyDescent="0.3">
      <c r="A60" t="s">
        <v>304</v>
      </c>
      <c r="B60" s="17">
        <v>46002</v>
      </c>
      <c r="C60" s="6" t="s">
        <v>237</v>
      </c>
      <c r="D60" s="6">
        <v>2</v>
      </c>
      <c r="E60">
        <v>1</v>
      </c>
      <c r="F60">
        <v>3</v>
      </c>
      <c r="G60" s="1"/>
      <c r="H60" s="4">
        <v>0.45208333333333334</v>
      </c>
      <c r="I60" s="4">
        <v>0.46041666666666664</v>
      </c>
      <c r="J60" s="5">
        <v>19.2</v>
      </c>
      <c r="K60" s="5">
        <v>19.5</v>
      </c>
      <c r="L60" t="s">
        <v>25</v>
      </c>
      <c r="M60" t="s">
        <v>25</v>
      </c>
      <c r="N60" t="s">
        <v>26</v>
      </c>
      <c r="O60" t="s">
        <v>37</v>
      </c>
      <c r="P60" t="s">
        <v>28</v>
      </c>
      <c r="Q60" t="s">
        <v>28</v>
      </c>
      <c r="R60" s="1"/>
      <c r="S60">
        <v>0</v>
      </c>
      <c r="T60">
        <v>0</v>
      </c>
      <c r="U60">
        <v>1</v>
      </c>
      <c r="V60">
        <v>0</v>
      </c>
      <c r="W60">
        <v>0</v>
      </c>
      <c r="X60">
        <v>0</v>
      </c>
      <c r="Y60">
        <v>0</v>
      </c>
      <c r="Z60">
        <v>0</v>
      </c>
      <c r="AA60">
        <v>0</v>
      </c>
      <c r="AB60">
        <v>0</v>
      </c>
      <c r="AC60" t="s">
        <v>44</v>
      </c>
      <c r="AD60">
        <v>0</v>
      </c>
      <c r="AE60">
        <v>0</v>
      </c>
      <c r="AF60" t="s">
        <v>230</v>
      </c>
    </row>
    <row r="61" spans="1:34" x14ac:dyDescent="0.3">
      <c r="A61" t="s">
        <v>305</v>
      </c>
      <c r="B61" s="17">
        <v>45967</v>
      </c>
      <c r="C61" s="6" t="s">
        <v>236</v>
      </c>
      <c r="D61" s="6">
        <v>1</v>
      </c>
      <c r="E61">
        <v>1</v>
      </c>
      <c r="F61">
        <v>1</v>
      </c>
      <c r="G61" s="1"/>
      <c r="H61" s="4">
        <v>0.45277777777777778</v>
      </c>
      <c r="I61" s="4">
        <v>0.46041666666666664</v>
      </c>
      <c r="J61" s="5">
        <v>14</v>
      </c>
      <c r="K61" s="5">
        <v>17.3</v>
      </c>
      <c r="L61" t="s">
        <v>50</v>
      </c>
      <c r="M61" t="s">
        <v>50</v>
      </c>
      <c r="N61" t="s">
        <v>37</v>
      </c>
      <c r="O61" s="2" t="s">
        <v>92</v>
      </c>
      <c r="P61" t="s">
        <v>93</v>
      </c>
      <c r="Q61" t="s">
        <v>93</v>
      </c>
      <c r="R61" s="1"/>
      <c r="S61">
        <v>0</v>
      </c>
      <c r="T61">
        <v>1</v>
      </c>
      <c r="U61">
        <v>1</v>
      </c>
      <c r="V61">
        <v>1</v>
      </c>
      <c r="W61">
        <v>0</v>
      </c>
      <c r="X61">
        <v>0</v>
      </c>
      <c r="Y61">
        <v>0</v>
      </c>
      <c r="Z61">
        <v>1</v>
      </c>
      <c r="AA61">
        <v>1</v>
      </c>
      <c r="AB61">
        <v>0</v>
      </c>
      <c r="AC61" t="s">
        <v>144</v>
      </c>
      <c r="AD61">
        <v>0</v>
      </c>
      <c r="AE61">
        <v>0</v>
      </c>
    </row>
    <row r="62" spans="1:34" x14ac:dyDescent="0.3">
      <c r="A62" t="s">
        <v>306</v>
      </c>
      <c r="B62" s="17">
        <v>45967</v>
      </c>
      <c r="C62" s="6" t="s">
        <v>236</v>
      </c>
      <c r="D62" s="6">
        <v>1</v>
      </c>
      <c r="E62">
        <v>1</v>
      </c>
      <c r="F62">
        <v>1</v>
      </c>
      <c r="G62" s="1"/>
      <c r="H62" s="4">
        <v>0.45277777777777778</v>
      </c>
      <c r="I62" s="4">
        <v>0.46041666666666664</v>
      </c>
      <c r="J62" s="5">
        <v>16</v>
      </c>
      <c r="K62" s="5">
        <v>17.3</v>
      </c>
      <c r="L62" t="s">
        <v>50</v>
      </c>
      <c r="M62" t="s">
        <v>50</v>
      </c>
      <c r="N62" t="s">
        <v>37</v>
      </c>
      <c r="O62" s="2" t="s">
        <v>92</v>
      </c>
      <c r="P62" t="s">
        <v>93</v>
      </c>
      <c r="Q62" t="s">
        <v>93</v>
      </c>
      <c r="R62" s="1"/>
      <c r="S62">
        <v>0</v>
      </c>
      <c r="T62">
        <v>0</v>
      </c>
      <c r="U62">
        <v>1</v>
      </c>
      <c r="V62">
        <v>0</v>
      </c>
      <c r="W62">
        <v>0</v>
      </c>
      <c r="X62">
        <v>0</v>
      </c>
      <c r="Y62">
        <v>0</v>
      </c>
      <c r="Z62">
        <v>1</v>
      </c>
      <c r="AA62">
        <v>1</v>
      </c>
      <c r="AB62">
        <v>1</v>
      </c>
      <c r="AC62" t="s">
        <v>188</v>
      </c>
      <c r="AD62">
        <v>0</v>
      </c>
      <c r="AE62">
        <v>0</v>
      </c>
    </row>
    <row r="63" spans="1:34" x14ac:dyDescent="0.3">
      <c r="A63" t="s">
        <v>307</v>
      </c>
      <c r="B63" s="17">
        <v>46005</v>
      </c>
      <c r="C63" s="6" t="s">
        <v>236</v>
      </c>
      <c r="D63" s="6">
        <v>2</v>
      </c>
      <c r="E63">
        <v>1</v>
      </c>
      <c r="F63">
        <v>1</v>
      </c>
      <c r="G63" s="1"/>
      <c r="H63" s="4">
        <v>0.45277777777777778</v>
      </c>
      <c r="I63" s="4">
        <v>0.4597222222222222</v>
      </c>
      <c r="J63" s="5">
        <v>21.9</v>
      </c>
      <c r="K63" s="5">
        <v>22.4</v>
      </c>
      <c r="L63" t="s">
        <v>27</v>
      </c>
      <c r="M63" t="s">
        <v>25</v>
      </c>
      <c r="N63" t="s">
        <v>31</v>
      </c>
      <c r="O63" t="s">
        <v>35</v>
      </c>
      <c r="P63" t="s">
        <v>28</v>
      </c>
      <c r="Q63" t="s">
        <v>28</v>
      </c>
      <c r="R63" s="1"/>
      <c r="S63">
        <v>1</v>
      </c>
      <c r="T63">
        <v>0</v>
      </c>
      <c r="U63">
        <v>0</v>
      </c>
      <c r="V63">
        <v>1</v>
      </c>
      <c r="W63">
        <v>0</v>
      </c>
      <c r="X63">
        <v>0</v>
      </c>
      <c r="Y63">
        <v>0</v>
      </c>
      <c r="Z63">
        <v>1</v>
      </c>
      <c r="AA63">
        <v>0</v>
      </c>
      <c r="AB63">
        <v>1</v>
      </c>
      <c r="AC63" t="s">
        <v>36</v>
      </c>
      <c r="AD63">
        <v>0</v>
      </c>
      <c r="AE63">
        <v>0</v>
      </c>
    </row>
    <row r="64" spans="1:34" x14ac:dyDescent="0.3">
      <c r="A64" t="s">
        <v>308</v>
      </c>
      <c r="B64" s="17">
        <v>45996</v>
      </c>
      <c r="C64" s="6" t="s">
        <v>238</v>
      </c>
      <c r="D64" s="6">
        <v>1</v>
      </c>
      <c r="E64">
        <v>1</v>
      </c>
      <c r="F64">
        <v>1</v>
      </c>
      <c r="G64" s="1"/>
      <c r="H64" s="4">
        <v>0.45416666666666666</v>
      </c>
      <c r="I64" s="4">
        <v>0.46111111111111114</v>
      </c>
      <c r="J64" s="5">
        <v>29.5</v>
      </c>
      <c r="K64" s="5">
        <v>30.1</v>
      </c>
      <c r="L64" t="s">
        <v>30</v>
      </c>
      <c r="M64" t="s">
        <v>30</v>
      </c>
      <c r="N64" t="s">
        <v>35</v>
      </c>
      <c r="O64" s="2" t="s">
        <v>92</v>
      </c>
      <c r="P64" t="s">
        <v>28</v>
      </c>
      <c r="Q64" t="s">
        <v>28</v>
      </c>
      <c r="R64" s="1"/>
      <c r="S64">
        <v>1</v>
      </c>
      <c r="T64">
        <v>0</v>
      </c>
      <c r="U64">
        <v>0</v>
      </c>
      <c r="V64">
        <v>1</v>
      </c>
      <c r="W64">
        <v>0</v>
      </c>
      <c r="X64">
        <v>0</v>
      </c>
      <c r="Y64">
        <v>0</v>
      </c>
      <c r="Z64">
        <v>1</v>
      </c>
      <c r="AA64">
        <v>0</v>
      </c>
      <c r="AB64">
        <v>1</v>
      </c>
      <c r="AD64">
        <v>0</v>
      </c>
      <c r="AE64">
        <v>0</v>
      </c>
    </row>
    <row r="65" spans="1:34" x14ac:dyDescent="0.3">
      <c r="A65" t="s">
        <v>309</v>
      </c>
      <c r="B65" s="17">
        <v>45996</v>
      </c>
      <c r="C65" s="6" t="s">
        <v>238</v>
      </c>
      <c r="D65" s="6">
        <v>1</v>
      </c>
      <c r="E65">
        <v>1</v>
      </c>
      <c r="F65">
        <v>1</v>
      </c>
      <c r="G65" s="1"/>
      <c r="H65" s="4">
        <v>0.45416666666666666</v>
      </c>
      <c r="I65" s="4">
        <v>0.46111111111111114</v>
      </c>
      <c r="J65" s="5">
        <v>29.5</v>
      </c>
      <c r="K65" s="5">
        <v>30.1</v>
      </c>
      <c r="L65" t="s">
        <v>30</v>
      </c>
      <c r="M65" t="s">
        <v>30</v>
      </c>
      <c r="N65" t="s">
        <v>35</v>
      </c>
      <c r="O65" s="2" t="s">
        <v>92</v>
      </c>
      <c r="P65" t="s">
        <v>28</v>
      </c>
      <c r="Q65" t="s">
        <v>28</v>
      </c>
      <c r="R65" s="1"/>
      <c r="S65">
        <v>1</v>
      </c>
      <c r="T65">
        <v>0</v>
      </c>
      <c r="U65">
        <v>0</v>
      </c>
      <c r="V65">
        <v>0</v>
      </c>
      <c r="W65">
        <v>1</v>
      </c>
      <c r="X65">
        <v>0</v>
      </c>
      <c r="Y65">
        <v>0</v>
      </c>
      <c r="Z65">
        <v>1</v>
      </c>
      <c r="AA65">
        <v>0</v>
      </c>
      <c r="AB65">
        <v>1</v>
      </c>
      <c r="AD65">
        <v>0</v>
      </c>
      <c r="AE65">
        <v>0</v>
      </c>
      <c r="AF65" t="s">
        <v>69</v>
      </c>
    </row>
    <row r="66" spans="1:34" x14ac:dyDescent="0.3">
      <c r="A66" t="s">
        <v>310</v>
      </c>
      <c r="B66" s="17">
        <v>45999</v>
      </c>
      <c r="C66" s="6" t="s">
        <v>236</v>
      </c>
      <c r="D66" s="6">
        <v>1</v>
      </c>
      <c r="E66">
        <v>3</v>
      </c>
      <c r="F66">
        <v>1</v>
      </c>
      <c r="G66" s="1"/>
      <c r="H66" s="4">
        <v>0.45555555555555555</v>
      </c>
      <c r="I66" s="4">
        <v>0.46319444444444446</v>
      </c>
      <c r="J66" s="5">
        <v>20.8</v>
      </c>
      <c r="K66" s="5">
        <v>21.7</v>
      </c>
      <c r="L66" t="s">
        <v>27</v>
      </c>
      <c r="M66" t="s">
        <v>27</v>
      </c>
      <c r="N66" t="s">
        <v>31</v>
      </c>
      <c r="O66" t="s">
        <v>31</v>
      </c>
      <c r="P66" t="s">
        <v>28</v>
      </c>
      <c r="Q66" t="s">
        <v>28</v>
      </c>
      <c r="R66" s="1"/>
      <c r="S66">
        <v>0</v>
      </c>
      <c r="T66">
        <v>0</v>
      </c>
      <c r="U66">
        <v>0</v>
      </c>
      <c r="V66">
        <v>0</v>
      </c>
      <c r="W66">
        <v>0</v>
      </c>
      <c r="X66">
        <v>0</v>
      </c>
      <c r="Y66">
        <v>0</v>
      </c>
      <c r="Z66">
        <v>1</v>
      </c>
      <c r="AA66">
        <v>1</v>
      </c>
      <c r="AB66">
        <v>1</v>
      </c>
      <c r="AC66" t="s">
        <v>36</v>
      </c>
      <c r="AD66">
        <v>0</v>
      </c>
      <c r="AE66">
        <v>0</v>
      </c>
    </row>
    <row r="67" spans="1:34" x14ac:dyDescent="0.3">
      <c r="A67" t="s">
        <v>311</v>
      </c>
      <c r="B67" s="17">
        <v>45999</v>
      </c>
      <c r="C67" s="6" t="s">
        <v>236</v>
      </c>
      <c r="D67" s="6">
        <v>1</v>
      </c>
      <c r="E67">
        <v>3</v>
      </c>
      <c r="F67">
        <v>1</v>
      </c>
      <c r="G67" s="1"/>
      <c r="H67" s="4">
        <v>0.45555555555555555</v>
      </c>
      <c r="I67" s="4">
        <v>0.46250000000000002</v>
      </c>
      <c r="J67" s="5">
        <v>20.8</v>
      </c>
      <c r="K67" s="5">
        <v>21.7</v>
      </c>
      <c r="L67" t="s">
        <v>27</v>
      </c>
      <c r="M67" t="s">
        <v>27</v>
      </c>
      <c r="N67" t="s">
        <v>31</v>
      </c>
      <c r="O67" t="s">
        <v>31</v>
      </c>
      <c r="P67" t="s">
        <v>28</v>
      </c>
      <c r="Q67" t="s">
        <v>28</v>
      </c>
      <c r="R67" s="1"/>
      <c r="S67">
        <v>0</v>
      </c>
      <c r="T67">
        <v>0</v>
      </c>
      <c r="U67">
        <v>0</v>
      </c>
      <c r="V67">
        <v>0</v>
      </c>
      <c r="W67">
        <v>0</v>
      </c>
      <c r="X67">
        <v>0</v>
      </c>
      <c r="Y67">
        <v>0</v>
      </c>
      <c r="Z67">
        <v>1</v>
      </c>
      <c r="AA67">
        <v>1</v>
      </c>
      <c r="AB67">
        <v>1</v>
      </c>
      <c r="AC67" t="s">
        <v>62</v>
      </c>
      <c r="AD67">
        <v>0</v>
      </c>
      <c r="AE67">
        <v>0</v>
      </c>
    </row>
    <row r="68" spans="1:34" x14ac:dyDescent="0.3">
      <c r="A68" t="s">
        <v>312</v>
      </c>
      <c r="B68" s="17">
        <v>46000</v>
      </c>
      <c r="C68" s="6" t="s">
        <v>238</v>
      </c>
      <c r="D68" s="6">
        <v>8</v>
      </c>
      <c r="E68">
        <v>1</v>
      </c>
      <c r="F68">
        <v>1</v>
      </c>
      <c r="G68" s="1"/>
      <c r="H68" s="4">
        <v>0.45624999999999999</v>
      </c>
      <c r="I68" s="4">
        <v>0.46319444444444446</v>
      </c>
      <c r="J68" s="5">
        <v>27.7</v>
      </c>
      <c r="K68" s="5">
        <v>27.9</v>
      </c>
      <c r="L68" t="s">
        <v>56</v>
      </c>
      <c r="M68" t="s">
        <v>56</v>
      </c>
      <c r="N68" t="s">
        <v>37</v>
      </c>
      <c r="O68" t="s">
        <v>37</v>
      </c>
      <c r="P68" t="s">
        <v>28</v>
      </c>
      <c r="Q68" t="s">
        <v>28</v>
      </c>
      <c r="R68" s="1"/>
      <c r="S68">
        <v>1</v>
      </c>
      <c r="T68">
        <v>0</v>
      </c>
      <c r="U68">
        <v>0</v>
      </c>
      <c r="V68">
        <v>1</v>
      </c>
      <c r="W68">
        <v>1</v>
      </c>
      <c r="X68">
        <v>0</v>
      </c>
      <c r="Y68">
        <v>0</v>
      </c>
      <c r="Z68">
        <v>1</v>
      </c>
      <c r="AA68">
        <v>1</v>
      </c>
      <c r="AB68">
        <v>0</v>
      </c>
      <c r="AD68">
        <v>1</v>
      </c>
      <c r="AE68">
        <v>0</v>
      </c>
      <c r="AF68" t="s">
        <v>57</v>
      </c>
    </row>
    <row r="69" spans="1:34" x14ac:dyDescent="0.3">
      <c r="A69" t="s">
        <v>313</v>
      </c>
      <c r="B69" s="17">
        <v>45994</v>
      </c>
      <c r="C69" s="6" t="s">
        <v>237</v>
      </c>
      <c r="D69" s="6">
        <v>1</v>
      </c>
      <c r="E69">
        <v>1</v>
      </c>
      <c r="F69">
        <v>2</v>
      </c>
      <c r="G69" s="1"/>
      <c r="H69" s="4">
        <v>0.45694444444444443</v>
      </c>
      <c r="I69" s="4">
        <v>0.46527777777777779</v>
      </c>
      <c r="J69" s="5">
        <v>20.399999999999999</v>
      </c>
      <c r="K69" s="5">
        <v>20.5</v>
      </c>
      <c r="L69" t="s">
        <v>50</v>
      </c>
      <c r="M69" t="s">
        <v>56</v>
      </c>
      <c r="N69" t="s">
        <v>26</v>
      </c>
      <c r="O69" t="s">
        <v>26</v>
      </c>
      <c r="P69" t="s">
        <v>28</v>
      </c>
      <c r="Q69" t="s">
        <v>28</v>
      </c>
      <c r="R69" s="1"/>
      <c r="S69">
        <v>1</v>
      </c>
      <c r="T69">
        <v>1</v>
      </c>
      <c r="U69">
        <v>1</v>
      </c>
      <c r="V69">
        <v>1</v>
      </c>
      <c r="W69">
        <v>1</v>
      </c>
      <c r="X69">
        <v>1</v>
      </c>
      <c r="Y69">
        <v>0</v>
      </c>
      <c r="Z69">
        <v>1</v>
      </c>
      <c r="AA69">
        <v>1</v>
      </c>
      <c r="AB69">
        <v>0</v>
      </c>
      <c r="AD69">
        <v>9</v>
      </c>
      <c r="AE69">
        <v>0</v>
      </c>
      <c r="AF69" t="s">
        <v>79</v>
      </c>
      <c r="AG69" t="s">
        <v>80</v>
      </c>
      <c r="AH69" t="s">
        <v>89</v>
      </c>
    </row>
    <row r="70" spans="1:34" x14ac:dyDescent="0.3">
      <c r="A70" t="s">
        <v>314</v>
      </c>
      <c r="B70" s="17">
        <v>45994</v>
      </c>
      <c r="C70" s="6" t="s">
        <v>237</v>
      </c>
      <c r="D70" s="6">
        <v>1</v>
      </c>
      <c r="E70">
        <v>1</v>
      </c>
      <c r="F70">
        <v>2</v>
      </c>
      <c r="G70" s="1"/>
      <c r="H70" s="4">
        <v>0.45694444444444443</v>
      </c>
      <c r="I70" s="4">
        <v>0.46527777777777779</v>
      </c>
      <c r="J70" s="5">
        <v>20.399999999999999</v>
      </c>
      <c r="K70" s="5">
        <v>20.5</v>
      </c>
      <c r="L70" t="s">
        <v>50</v>
      </c>
      <c r="M70" t="s">
        <v>56</v>
      </c>
      <c r="N70" t="s">
        <v>26</v>
      </c>
      <c r="O70" t="s">
        <v>26</v>
      </c>
      <c r="P70" t="s">
        <v>28</v>
      </c>
      <c r="Q70" t="s">
        <v>28</v>
      </c>
      <c r="R70" s="1"/>
      <c r="S70">
        <v>0</v>
      </c>
      <c r="T70">
        <v>1</v>
      </c>
      <c r="U70">
        <v>1</v>
      </c>
      <c r="V70">
        <v>1</v>
      </c>
      <c r="W70">
        <v>1</v>
      </c>
      <c r="X70">
        <v>1</v>
      </c>
      <c r="Y70">
        <v>0</v>
      </c>
      <c r="Z70">
        <v>1</v>
      </c>
      <c r="AA70">
        <v>1</v>
      </c>
      <c r="AB70">
        <v>1</v>
      </c>
      <c r="AD70">
        <v>6</v>
      </c>
      <c r="AE70">
        <v>0</v>
      </c>
      <c r="AF70" s="2" t="s">
        <v>90</v>
      </c>
      <c r="AH70" t="s">
        <v>89</v>
      </c>
    </row>
    <row r="71" spans="1:34" x14ac:dyDescent="0.3">
      <c r="A71" t="s">
        <v>315</v>
      </c>
      <c r="B71" s="17">
        <v>45964</v>
      </c>
      <c r="C71" s="6" t="s">
        <v>236</v>
      </c>
      <c r="D71" s="6">
        <v>1</v>
      </c>
      <c r="E71">
        <v>2</v>
      </c>
      <c r="F71">
        <v>1</v>
      </c>
      <c r="G71" s="1"/>
      <c r="H71" s="4">
        <v>0.45763888888888887</v>
      </c>
      <c r="I71" s="4">
        <v>0.46527777777777779</v>
      </c>
      <c r="J71" s="5">
        <v>23</v>
      </c>
      <c r="K71" s="5">
        <v>23.1</v>
      </c>
      <c r="L71" t="s">
        <v>25</v>
      </c>
      <c r="M71" s="2" t="s">
        <v>92</v>
      </c>
      <c r="N71" t="s">
        <v>35</v>
      </c>
      <c r="O71" s="2" t="s">
        <v>92</v>
      </c>
      <c r="P71" s="2" t="s">
        <v>92</v>
      </c>
      <c r="Q71" s="2" t="s">
        <v>92</v>
      </c>
      <c r="R71" s="1"/>
      <c r="S71">
        <v>0</v>
      </c>
      <c r="T71">
        <v>0</v>
      </c>
      <c r="U71">
        <v>1</v>
      </c>
      <c r="V71">
        <v>1</v>
      </c>
      <c r="W71">
        <v>0</v>
      </c>
      <c r="X71">
        <v>0</v>
      </c>
      <c r="Y71">
        <v>0</v>
      </c>
      <c r="Z71">
        <v>1</v>
      </c>
      <c r="AA71">
        <v>0</v>
      </c>
      <c r="AB71">
        <v>0</v>
      </c>
      <c r="AD71">
        <v>0</v>
      </c>
      <c r="AE71">
        <v>0</v>
      </c>
    </row>
    <row r="72" spans="1:34" x14ac:dyDescent="0.3">
      <c r="A72" t="s">
        <v>316</v>
      </c>
      <c r="B72" s="17">
        <v>45964</v>
      </c>
      <c r="C72" s="6" t="s">
        <v>236</v>
      </c>
      <c r="D72" s="6">
        <v>1</v>
      </c>
      <c r="E72">
        <v>2</v>
      </c>
      <c r="F72">
        <v>1</v>
      </c>
      <c r="G72" s="1"/>
      <c r="H72" s="4">
        <v>0.45763888888888887</v>
      </c>
      <c r="I72" s="4">
        <v>0.46527777777777779</v>
      </c>
      <c r="J72" s="5">
        <v>23</v>
      </c>
      <c r="K72" s="5">
        <v>23.1</v>
      </c>
      <c r="L72" t="s">
        <v>25</v>
      </c>
      <c r="M72" s="2" t="s">
        <v>92</v>
      </c>
      <c r="N72" t="s">
        <v>35</v>
      </c>
      <c r="O72" s="2" t="s">
        <v>92</v>
      </c>
      <c r="P72" s="2" t="s">
        <v>92</v>
      </c>
      <c r="Q72" s="2" t="s">
        <v>92</v>
      </c>
      <c r="R72" s="1"/>
      <c r="S72">
        <v>1</v>
      </c>
      <c r="T72">
        <v>0</v>
      </c>
      <c r="U72">
        <v>1</v>
      </c>
      <c r="V72">
        <v>1</v>
      </c>
      <c r="W72">
        <v>0</v>
      </c>
      <c r="X72">
        <v>0</v>
      </c>
      <c r="Y72">
        <v>0</v>
      </c>
      <c r="Z72">
        <v>0</v>
      </c>
      <c r="AA72">
        <v>1</v>
      </c>
      <c r="AB72">
        <v>0</v>
      </c>
      <c r="AC72" t="s">
        <v>149</v>
      </c>
      <c r="AD72">
        <v>0</v>
      </c>
      <c r="AE72">
        <v>0</v>
      </c>
      <c r="AF72" s="2" t="s">
        <v>152</v>
      </c>
    </row>
    <row r="73" spans="1:34" x14ac:dyDescent="0.3">
      <c r="A73" t="s">
        <v>317</v>
      </c>
      <c r="B73" s="17">
        <v>46008</v>
      </c>
      <c r="C73" s="6" t="s">
        <v>238</v>
      </c>
      <c r="D73" s="6">
        <v>4</v>
      </c>
      <c r="E73">
        <v>1</v>
      </c>
      <c r="F73">
        <v>1</v>
      </c>
      <c r="G73" s="1"/>
      <c r="H73" s="4">
        <v>0.45763888888888887</v>
      </c>
      <c r="I73" s="4">
        <v>0.46458333333333335</v>
      </c>
      <c r="J73" s="5">
        <v>23.8</v>
      </c>
      <c r="K73" s="5">
        <v>23.2</v>
      </c>
      <c r="L73" t="s">
        <v>56</v>
      </c>
      <c r="M73" t="s">
        <v>56</v>
      </c>
      <c r="N73" t="s">
        <v>37</v>
      </c>
      <c r="O73" t="s">
        <v>37</v>
      </c>
      <c r="P73" t="s">
        <v>28</v>
      </c>
      <c r="Q73" t="s">
        <v>28</v>
      </c>
      <c r="R73" s="1"/>
      <c r="S73">
        <v>1</v>
      </c>
      <c r="T73">
        <v>0</v>
      </c>
      <c r="U73">
        <v>1</v>
      </c>
      <c r="V73">
        <v>1</v>
      </c>
      <c r="W73">
        <v>1</v>
      </c>
      <c r="X73">
        <v>0</v>
      </c>
      <c r="Y73">
        <v>0</v>
      </c>
      <c r="Z73">
        <v>1</v>
      </c>
      <c r="AA73">
        <v>1</v>
      </c>
      <c r="AB73">
        <v>1</v>
      </c>
      <c r="AD73">
        <v>2</v>
      </c>
      <c r="AE73">
        <v>0</v>
      </c>
    </row>
    <row r="74" spans="1:34" x14ac:dyDescent="0.3">
      <c r="A74" t="s">
        <v>318</v>
      </c>
      <c r="B74" s="17">
        <v>46008</v>
      </c>
      <c r="C74" s="6" t="s">
        <v>238</v>
      </c>
      <c r="D74" s="6">
        <v>4</v>
      </c>
      <c r="E74">
        <v>1</v>
      </c>
      <c r="F74">
        <v>1</v>
      </c>
      <c r="G74" s="1"/>
      <c r="H74" s="4">
        <v>0.45763888888888887</v>
      </c>
      <c r="I74" s="4">
        <v>0.46527777777777779</v>
      </c>
      <c r="J74" s="5">
        <v>23.8</v>
      </c>
      <c r="K74" s="5">
        <v>23.2</v>
      </c>
      <c r="L74" t="s">
        <v>56</v>
      </c>
      <c r="M74" t="s">
        <v>56</v>
      </c>
      <c r="N74" t="s">
        <v>37</v>
      </c>
      <c r="O74" t="s">
        <v>47</v>
      </c>
      <c r="P74" t="s">
        <v>28</v>
      </c>
      <c r="Q74" t="s">
        <v>28</v>
      </c>
      <c r="R74" s="1"/>
      <c r="S74">
        <v>1</v>
      </c>
      <c r="T74">
        <v>0</v>
      </c>
      <c r="U74">
        <v>0</v>
      </c>
      <c r="V74">
        <v>1</v>
      </c>
      <c r="W74">
        <v>1</v>
      </c>
      <c r="X74">
        <v>0</v>
      </c>
      <c r="Y74">
        <v>0</v>
      </c>
      <c r="Z74">
        <v>1</v>
      </c>
      <c r="AA74">
        <v>1</v>
      </c>
      <c r="AB74">
        <v>1</v>
      </c>
      <c r="AD74">
        <v>1</v>
      </c>
      <c r="AE74">
        <v>0</v>
      </c>
    </row>
    <row r="75" spans="1:34" x14ac:dyDescent="0.3">
      <c r="A75" t="s">
        <v>319</v>
      </c>
      <c r="B75" s="17">
        <v>45968</v>
      </c>
      <c r="C75" s="6" t="s">
        <v>236</v>
      </c>
      <c r="D75" s="6" t="s">
        <v>241</v>
      </c>
      <c r="E75">
        <v>1</v>
      </c>
      <c r="F75">
        <v>1</v>
      </c>
      <c r="G75" s="1"/>
      <c r="H75" s="4">
        <v>0.45833333333333331</v>
      </c>
      <c r="I75" s="4">
        <v>0.47152777777777777</v>
      </c>
      <c r="J75" s="5">
        <v>20.9</v>
      </c>
      <c r="K75" s="5">
        <v>21.9</v>
      </c>
      <c r="L75" t="s">
        <v>32</v>
      </c>
      <c r="M75" t="s">
        <v>32</v>
      </c>
      <c r="N75" t="s">
        <v>37</v>
      </c>
      <c r="O75" s="2" t="s">
        <v>92</v>
      </c>
      <c r="P75" t="s">
        <v>28</v>
      </c>
      <c r="Q75" t="s">
        <v>28</v>
      </c>
      <c r="R75" s="1"/>
      <c r="S75">
        <v>0</v>
      </c>
      <c r="T75">
        <v>0</v>
      </c>
      <c r="U75">
        <v>1</v>
      </c>
      <c r="V75">
        <v>1</v>
      </c>
      <c r="W75">
        <v>0</v>
      </c>
      <c r="X75">
        <v>0</v>
      </c>
      <c r="Y75">
        <v>0</v>
      </c>
      <c r="Z75">
        <v>1</v>
      </c>
      <c r="AA75">
        <v>1</v>
      </c>
      <c r="AB75">
        <v>1</v>
      </c>
      <c r="AC75" t="s">
        <v>139</v>
      </c>
      <c r="AD75">
        <v>1</v>
      </c>
      <c r="AE75">
        <v>0</v>
      </c>
    </row>
    <row r="76" spans="1:34" x14ac:dyDescent="0.3">
      <c r="A76" t="s">
        <v>320</v>
      </c>
      <c r="B76" s="17">
        <v>45968</v>
      </c>
      <c r="C76" s="6" t="s">
        <v>236</v>
      </c>
      <c r="D76" s="6" t="s">
        <v>241</v>
      </c>
      <c r="E76">
        <v>1</v>
      </c>
      <c r="F76">
        <v>1</v>
      </c>
      <c r="G76" s="1"/>
      <c r="H76" s="4">
        <v>0.45833333333333331</v>
      </c>
      <c r="I76" s="4">
        <v>0.47152777777777777</v>
      </c>
      <c r="J76" s="5">
        <v>20.9</v>
      </c>
      <c r="K76" s="5">
        <v>21.9</v>
      </c>
      <c r="L76" t="s">
        <v>32</v>
      </c>
      <c r="M76" t="s">
        <v>32</v>
      </c>
      <c r="N76" t="s">
        <v>37</v>
      </c>
      <c r="O76" s="2" t="s">
        <v>92</v>
      </c>
      <c r="P76" t="s">
        <v>28</v>
      </c>
      <c r="Q76" t="s">
        <v>28</v>
      </c>
      <c r="R76" s="1"/>
      <c r="S76">
        <v>0</v>
      </c>
      <c r="T76">
        <v>0</v>
      </c>
      <c r="U76">
        <v>1</v>
      </c>
      <c r="V76">
        <v>1</v>
      </c>
      <c r="W76">
        <v>0</v>
      </c>
      <c r="X76">
        <v>0</v>
      </c>
      <c r="Y76">
        <v>0</v>
      </c>
      <c r="Z76">
        <v>1</v>
      </c>
      <c r="AA76">
        <v>1</v>
      </c>
      <c r="AB76">
        <v>1</v>
      </c>
      <c r="AC76" t="s">
        <v>132</v>
      </c>
      <c r="AD76">
        <v>0</v>
      </c>
      <c r="AE76">
        <v>0</v>
      </c>
    </row>
    <row r="77" spans="1:34" x14ac:dyDescent="0.3">
      <c r="A77" t="s">
        <v>321</v>
      </c>
      <c r="B77" s="17">
        <v>45974</v>
      </c>
      <c r="C77" s="6" t="s">
        <v>236</v>
      </c>
      <c r="D77" s="6">
        <v>1</v>
      </c>
      <c r="E77">
        <v>1</v>
      </c>
      <c r="F77">
        <v>1</v>
      </c>
      <c r="G77" s="1"/>
      <c r="H77" s="4">
        <v>0.45833333333333331</v>
      </c>
      <c r="I77" s="4">
        <v>0.46666666666666667</v>
      </c>
      <c r="J77" s="5">
        <v>19.7</v>
      </c>
      <c r="K77" s="5">
        <v>19.8</v>
      </c>
      <c r="L77" t="s">
        <v>32</v>
      </c>
      <c r="M77" t="s">
        <v>32</v>
      </c>
      <c r="N77" t="s">
        <v>35</v>
      </c>
      <c r="O77" s="2" t="s">
        <v>92</v>
      </c>
      <c r="P77" t="s">
        <v>28</v>
      </c>
      <c r="Q77" t="s">
        <v>28</v>
      </c>
      <c r="R77" s="1"/>
      <c r="S77">
        <v>0</v>
      </c>
      <c r="T77">
        <v>0</v>
      </c>
      <c r="U77">
        <v>1</v>
      </c>
      <c r="V77">
        <v>1</v>
      </c>
      <c r="W77">
        <v>0</v>
      </c>
      <c r="X77">
        <v>0</v>
      </c>
      <c r="Y77">
        <v>0</v>
      </c>
      <c r="Z77">
        <v>1</v>
      </c>
      <c r="AA77">
        <v>1</v>
      </c>
      <c r="AB77">
        <v>1</v>
      </c>
      <c r="AC77" t="s">
        <v>189</v>
      </c>
      <c r="AD77">
        <v>0</v>
      </c>
      <c r="AE77">
        <v>0</v>
      </c>
    </row>
    <row r="78" spans="1:34" x14ac:dyDescent="0.3">
      <c r="A78" t="s">
        <v>322</v>
      </c>
      <c r="B78" s="17">
        <v>45998</v>
      </c>
      <c r="C78" s="6" t="s">
        <v>238</v>
      </c>
      <c r="D78" s="6">
        <v>4</v>
      </c>
      <c r="E78">
        <v>1</v>
      </c>
      <c r="F78">
        <v>1</v>
      </c>
      <c r="G78" s="1"/>
      <c r="H78" s="4">
        <v>0.45833333333333331</v>
      </c>
      <c r="I78" s="4">
        <v>0.46527777777777779</v>
      </c>
      <c r="J78" s="5">
        <v>20.5</v>
      </c>
      <c r="K78" s="5">
        <v>20.399999999999999</v>
      </c>
      <c r="L78" t="s">
        <v>50</v>
      </c>
      <c r="M78" t="s">
        <v>50</v>
      </c>
      <c r="N78" t="s">
        <v>37</v>
      </c>
      <c r="O78" t="s">
        <v>37</v>
      </c>
      <c r="P78" t="s">
        <v>28</v>
      </c>
      <c r="Q78" t="s">
        <v>28</v>
      </c>
      <c r="R78" s="1"/>
      <c r="S78">
        <v>0</v>
      </c>
      <c r="T78">
        <v>0</v>
      </c>
      <c r="U78">
        <v>0</v>
      </c>
      <c r="V78">
        <v>1</v>
      </c>
      <c r="W78">
        <v>0</v>
      </c>
      <c r="X78">
        <v>0</v>
      </c>
      <c r="Y78">
        <v>0</v>
      </c>
      <c r="Z78">
        <v>1</v>
      </c>
      <c r="AA78">
        <v>0</v>
      </c>
      <c r="AB78">
        <v>1</v>
      </c>
      <c r="AD78">
        <v>1</v>
      </c>
      <c r="AE78">
        <v>0</v>
      </c>
      <c r="AF78" t="s">
        <v>86</v>
      </c>
    </row>
    <row r="79" spans="1:34" x14ac:dyDescent="0.3">
      <c r="A79" t="s">
        <v>323</v>
      </c>
      <c r="B79" s="17">
        <v>45974</v>
      </c>
      <c r="C79" s="6" t="s">
        <v>236</v>
      </c>
      <c r="D79" s="6">
        <v>1</v>
      </c>
      <c r="E79">
        <v>1</v>
      </c>
      <c r="F79">
        <v>1</v>
      </c>
      <c r="G79" s="1"/>
      <c r="H79" s="4">
        <v>0.45902777777777776</v>
      </c>
      <c r="I79" s="4">
        <v>0.46597222222222223</v>
      </c>
      <c r="J79" s="5">
        <v>19.7</v>
      </c>
      <c r="K79" s="5">
        <v>19.8</v>
      </c>
      <c r="L79" t="s">
        <v>32</v>
      </c>
      <c r="M79" t="s">
        <v>32</v>
      </c>
      <c r="N79" t="s">
        <v>35</v>
      </c>
      <c r="O79" s="2" t="s">
        <v>92</v>
      </c>
      <c r="P79" t="s">
        <v>28</v>
      </c>
      <c r="Q79" t="s">
        <v>28</v>
      </c>
      <c r="R79" s="1"/>
      <c r="S79">
        <v>1</v>
      </c>
      <c r="T79">
        <v>0</v>
      </c>
      <c r="U79">
        <v>1</v>
      </c>
      <c r="V79">
        <v>1</v>
      </c>
      <c r="W79">
        <v>0</v>
      </c>
      <c r="X79">
        <v>1</v>
      </c>
      <c r="Y79">
        <v>0</v>
      </c>
      <c r="Z79">
        <v>1</v>
      </c>
      <c r="AA79">
        <v>1</v>
      </c>
      <c r="AB79">
        <v>1</v>
      </c>
      <c r="AC79" t="s">
        <v>43</v>
      </c>
      <c r="AD79">
        <v>0</v>
      </c>
      <c r="AE79">
        <v>0</v>
      </c>
    </row>
    <row r="80" spans="1:34" x14ac:dyDescent="0.3">
      <c r="A80" t="s">
        <v>324</v>
      </c>
      <c r="B80" s="17">
        <v>45979</v>
      </c>
      <c r="C80" s="6" t="s">
        <v>237</v>
      </c>
      <c r="D80" s="6">
        <v>4</v>
      </c>
      <c r="E80">
        <v>1</v>
      </c>
      <c r="F80">
        <v>2</v>
      </c>
      <c r="G80" s="1"/>
      <c r="H80" s="4">
        <v>0.4597222222222222</v>
      </c>
      <c r="I80" s="4">
        <v>0.46666666666666667</v>
      </c>
      <c r="J80" s="5">
        <v>19.2</v>
      </c>
      <c r="K80" s="5">
        <v>19.600000000000001</v>
      </c>
      <c r="L80" t="s">
        <v>50</v>
      </c>
      <c r="M80" t="s">
        <v>50</v>
      </c>
      <c r="N80" t="s">
        <v>35</v>
      </c>
      <c r="O80" s="2" t="s">
        <v>92</v>
      </c>
      <c r="P80" t="s">
        <v>28</v>
      </c>
      <c r="Q80" t="s">
        <v>28</v>
      </c>
      <c r="R80" s="1"/>
      <c r="S80">
        <v>1</v>
      </c>
      <c r="T80">
        <v>0</v>
      </c>
      <c r="U80">
        <v>1</v>
      </c>
      <c r="V80">
        <v>1</v>
      </c>
      <c r="W80">
        <v>0</v>
      </c>
      <c r="X80">
        <v>1</v>
      </c>
      <c r="Y80">
        <v>0</v>
      </c>
      <c r="Z80">
        <v>1</v>
      </c>
      <c r="AA80">
        <v>0</v>
      </c>
      <c r="AB80">
        <v>1</v>
      </c>
      <c r="AD80">
        <v>0</v>
      </c>
      <c r="AE80">
        <v>0</v>
      </c>
    </row>
    <row r="81" spans="1:32" x14ac:dyDescent="0.3">
      <c r="A81" t="s">
        <v>325</v>
      </c>
      <c r="B81" s="17">
        <v>45979</v>
      </c>
      <c r="C81" s="6" t="s">
        <v>237</v>
      </c>
      <c r="D81" s="6">
        <v>4</v>
      </c>
      <c r="E81">
        <v>1</v>
      </c>
      <c r="F81">
        <v>2</v>
      </c>
      <c r="G81" s="1"/>
      <c r="H81" s="4">
        <v>0.4597222222222222</v>
      </c>
      <c r="I81" s="4">
        <v>0.46666666666666667</v>
      </c>
      <c r="J81" s="5">
        <v>19.2</v>
      </c>
      <c r="K81" s="5">
        <v>19.600000000000001</v>
      </c>
      <c r="L81" t="s">
        <v>50</v>
      </c>
      <c r="M81" t="s">
        <v>50</v>
      </c>
      <c r="N81" t="s">
        <v>35</v>
      </c>
      <c r="O81" s="2" t="s">
        <v>92</v>
      </c>
      <c r="P81" t="s">
        <v>28</v>
      </c>
      <c r="Q81" t="s">
        <v>28</v>
      </c>
      <c r="R81" s="1"/>
      <c r="S81">
        <v>1</v>
      </c>
      <c r="T81">
        <v>0</v>
      </c>
      <c r="U81">
        <v>1</v>
      </c>
      <c r="V81">
        <v>1</v>
      </c>
      <c r="W81">
        <v>0</v>
      </c>
      <c r="X81">
        <v>0</v>
      </c>
      <c r="Y81">
        <v>1</v>
      </c>
      <c r="Z81">
        <v>1</v>
      </c>
      <c r="AA81">
        <v>0</v>
      </c>
      <c r="AB81">
        <v>1</v>
      </c>
      <c r="AC81" t="s">
        <v>162</v>
      </c>
      <c r="AD81">
        <v>0</v>
      </c>
      <c r="AE81">
        <v>0</v>
      </c>
    </row>
    <row r="82" spans="1:32" x14ac:dyDescent="0.3">
      <c r="A82" t="s">
        <v>326</v>
      </c>
      <c r="B82" s="17">
        <v>46007</v>
      </c>
      <c r="C82" s="6" t="s">
        <v>237</v>
      </c>
      <c r="D82" s="6">
        <v>1</v>
      </c>
      <c r="E82">
        <v>1</v>
      </c>
      <c r="F82">
        <v>2</v>
      </c>
      <c r="G82" s="1"/>
      <c r="H82" s="4">
        <v>0.46041666666666664</v>
      </c>
      <c r="I82" s="4">
        <v>0.46736111111111112</v>
      </c>
      <c r="J82" s="5">
        <v>18.899999999999999</v>
      </c>
      <c r="K82" s="5">
        <v>20.5</v>
      </c>
      <c r="L82" t="s">
        <v>32</v>
      </c>
      <c r="M82" t="s">
        <v>32</v>
      </c>
      <c r="N82" t="s">
        <v>26</v>
      </c>
      <c r="O82" t="s">
        <v>26</v>
      </c>
      <c r="P82" t="s">
        <v>28</v>
      </c>
      <c r="Q82" t="s">
        <v>28</v>
      </c>
      <c r="R82" s="1"/>
      <c r="S82">
        <v>1</v>
      </c>
      <c r="T82">
        <v>1</v>
      </c>
      <c r="U82">
        <v>0</v>
      </c>
      <c r="V82">
        <v>1</v>
      </c>
      <c r="W82">
        <v>1</v>
      </c>
      <c r="X82">
        <v>0</v>
      </c>
      <c r="Y82">
        <v>0</v>
      </c>
      <c r="Z82">
        <v>1</v>
      </c>
      <c r="AA82">
        <v>0</v>
      </c>
      <c r="AB82">
        <v>1</v>
      </c>
      <c r="AC82" t="s">
        <v>184</v>
      </c>
      <c r="AD82">
        <v>2</v>
      </c>
      <c r="AE82">
        <v>0</v>
      </c>
    </row>
    <row r="83" spans="1:32" x14ac:dyDescent="0.3">
      <c r="A83" t="s">
        <v>327</v>
      </c>
      <c r="B83" s="17">
        <v>46007</v>
      </c>
      <c r="C83" s="6" t="s">
        <v>237</v>
      </c>
      <c r="D83" s="6">
        <v>1</v>
      </c>
      <c r="E83">
        <v>1</v>
      </c>
      <c r="F83">
        <v>2</v>
      </c>
      <c r="G83" s="1"/>
      <c r="H83" s="4">
        <v>0.46041666666666664</v>
      </c>
      <c r="I83" s="4">
        <v>0.46805555555555556</v>
      </c>
      <c r="J83" s="5">
        <v>18.899999999999999</v>
      </c>
      <c r="K83" s="5">
        <v>20.5</v>
      </c>
      <c r="L83" t="s">
        <v>32</v>
      </c>
      <c r="M83" t="s">
        <v>32</v>
      </c>
      <c r="N83" t="s">
        <v>37</v>
      </c>
      <c r="O83" t="s">
        <v>26</v>
      </c>
      <c r="P83" t="s">
        <v>28</v>
      </c>
      <c r="Q83" t="s">
        <v>28</v>
      </c>
      <c r="R83" s="1"/>
      <c r="S83">
        <v>1</v>
      </c>
      <c r="T83">
        <v>1</v>
      </c>
      <c r="U83">
        <v>1</v>
      </c>
      <c r="V83">
        <v>1</v>
      </c>
      <c r="W83">
        <v>1</v>
      </c>
      <c r="X83">
        <v>0</v>
      </c>
      <c r="Y83">
        <v>0</v>
      </c>
      <c r="Z83">
        <v>1</v>
      </c>
      <c r="AA83">
        <v>1</v>
      </c>
      <c r="AB83">
        <v>1</v>
      </c>
      <c r="AD83">
        <v>0</v>
      </c>
      <c r="AE83">
        <v>0</v>
      </c>
      <c r="AF83" t="s">
        <v>176</v>
      </c>
    </row>
    <row r="84" spans="1:32" x14ac:dyDescent="0.3">
      <c r="A84" t="s">
        <v>328</v>
      </c>
      <c r="B84" s="17">
        <v>46005</v>
      </c>
      <c r="C84" s="6" t="s">
        <v>236</v>
      </c>
      <c r="D84" s="6">
        <v>2</v>
      </c>
      <c r="E84">
        <v>1</v>
      </c>
      <c r="F84">
        <v>2</v>
      </c>
      <c r="G84" s="1"/>
      <c r="H84" s="4">
        <v>0.46111111111111114</v>
      </c>
      <c r="I84" s="4">
        <v>0.46805555555555556</v>
      </c>
      <c r="J84" s="5">
        <v>22.4</v>
      </c>
      <c r="K84" s="5">
        <v>22</v>
      </c>
      <c r="L84" t="s">
        <v>25</v>
      </c>
      <c r="M84" t="s">
        <v>25</v>
      </c>
      <c r="N84" t="s">
        <v>35</v>
      </c>
      <c r="O84" t="s">
        <v>31</v>
      </c>
      <c r="P84" t="s">
        <v>28</v>
      </c>
      <c r="Q84" t="s">
        <v>28</v>
      </c>
      <c r="R84" s="1"/>
      <c r="S84">
        <v>1</v>
      </c>
      <c r="T84">
        <v>0</v>
      </c>
      <c r="U84">
        <v>0</v>
      </c>
      <c r="V84">
        <v>0</v>
      </c>
      <c r="W84">
        <v>0</v>
      </c>
      <c r="X84">
        <v>0</v>
      </c>
      <c r="Y84">
        <v>0</v>
      </c>
      <c r="Z84">
        <v>1</v>
      </c>
      <c r="AA84">
        <v>1</v>
      </c>
      <c r="AB84">
        <v>1</v>
      </c>
      <c r="AC84" t="s">
        <v>218</v>
      </c>
      <c r="AD84">
        <v>0</v>
      </c>
      <c r="AE84">
        <v>0</v>
      </c>
    </row>
    <row r="85" spans="1:32" x14ac:dyDescent="0.3">
      <c r="A85" t="s">
        <v>329</v>
      </c>
      <c r="B85" s="17">
        <v>45989</v>
      </c>
      <c r="C85" s="6" t="s">
        <v>236</v>
      </c>
      <c r="D85" s="6" t="s">
        <v>242</v>
      </c>
      <c r="E85">
        <v>2</v>
      </c>
      <c r="F85">
        <v>1</v>
      </c>
      <c r="G85" s="1"/>
      <c r="H85" s="4">
        <v>0.46250000000000002</v>
      </c>
      <c r="I85" s="4">
        <v>0.46944444444444444</v>
      </c>
      <c r="J85" s="5">
        <v>22.7</v>
      </c>
      <c r="K85" s="5">
        <v>23</v>
      </c>
      <c r="L85" t="s">
        <v>32</v>
      </c>
      <c r="M85" t="s">
        <v>32</v>
      </c>
      <c r="N85" t="s">
        <v>31</v>
      </c>
      <c r="O85" s="2" t="s">
        <v>92</v>
      </c>
      <c r="P85" t="s">
        <v>28</v>
      </c>
      <c r="Q85" t="s">
        <v>28</v>
      </c>
      <c r="R85" s="1"/>
      <c r="S85">
        <v>1</v>
      </c>
      <c r="T85">
        <v>0</v>
      </c>
      <c r="U85">
        <v>1</v>
      </c>
      <c r="V85">
        <v>1</v>
      </c>
      <c r="W85">
        <v>0</v>
      </c>
      <c r="X85">
        <v>0</v>
      </c>
      <c r="Y85">
        <v>0</v>
      </c>
      <c r="Z85">
        <v>1</v>
      </c>
      <c r="AA85">
        <v>0</v>
      </c>
      <c r="AB85">
        <v>1</v>
      </c>
      <c r="AD85">
        <v>6</v>
      </c>
      <c r="AE85">
        <v>0</v>
      </c>
    </row>
    <row r="86" spans="1:32" x14ac:dyDescent="0.3">
      <c r="A86" t="s">
        <v>330</v>
      </c>
      <c r="B86" s="17">
        <v>45989</v>
      </c>
      <c r="C86" s="6" t="s">
        <v>236</v>
      </c>
      <c r="D86" s="6" t="s">
        <v>242</v>
      </c>
      <c r="E86">
        <v>2</v>
      </c>
      <c r="F86">
        <v>1</v>
      </c>
      <c r="G86" s="1"/>
      <c r="H86" s="4">
        <v>0.46250000000000002</v>
      </c>
      <c r="I86" s="4">
        <v>0.46944444444444444</v>
      </c>
      <c r="J86" s="5">
        <v>22.7</v>
      </c>
      <c r="K86" s="5">
        <v>23</v>
      </c>
      <c r="L86" t="s">
        <v>32</v>
      </c>
      <c r="M86" t="s">
        <v>32</v>
      </c>
      <c r="N86" t="s">
        <v>31</v>
      </c>
      <c r="O86" s="2" t="s">
        <v>92</v>
      </c>
      <c r="P86" t="s">
        <v>28</v>
      </c>
      <c r="Q86" t="s">
        <v>28</v>
      </c>
      <c r="R86" s="1"/>
      <c r="S86">
        <v>1</v>
      </c>
      <c r="T86">
        <v>0</v>
      </c>
      <c r="U86">
        <v>1</v>
      </c>
      <c r="V86">
        <v>1</v>
      </c>
      <c r="W86">
        <v>0</v>
      </c>
      <c r="X86">
        <v>0</v>
      </c>
      <c r="Y86">
        <v>0</v>
      </c>
      <c r="Z86">
        <v>1</v>
      </c>
      <c r="AA86">
        <v>0</v>
      </c>
      <c r="AB86">
        <v>1</v>
      </c>
      <c r="AC86" t="s">
        <v>213</v>
      </c>
      <c r="AD86">
        <v>2</v>
      </c>
      <c r="AE86">
        <v>0</v>
      </c>
    </row>
    <row r="87" spans="1:32" x14ac:dyDescent="0.3">
      <c r="A87" t="s">
        <v>331</v>
      </c>
      <c r="B87" s="17">
        <v>46010</v>
      </c>
      <c r="C87" s="6" t="s">
        <v>238</v>
      </c>
      <c r="D87" s="6">
        <v>4</v>
      </c>
      <c r="E87">
        <v>1</v>
      </c>
      <c r="F87">
        <v>1</v>
      </c>
      <c r="G87" s="1"/>
      <c r="H87" s="4">
        <v>0.46250000000000002</v>
      </c>
      <c r="I87" s="4">
        <v>0.46944444444444444</v>
      </c>
      <c r="J87" s="5">
        <v>32.6</v>
      </c>
      <c r="K87" s="5">
        <v>32.6</v>
      </c>
      <c r="L87" t="s">
        <v>50</v>
      </c>
      <c r="M87" t="s">
        <v>50</v>
      </c>
      <c r="N87" t="s">
        <v>35</v>
      </c>
      <c r="O87" t="s">
        <v>35</v>
      </c>
      <c r="P87" t="s">
        <v>28</v>
      </c>
      <c r="Q87" t="s">
        <v>28</v>
      </c>
      <c r="R87" s="1"/>
      <c r="S87">
        <v>1</v>
      </c>
      <c r="T87">
        <v>0</v>
      </c>
      <c r="U87">
        <v>0</v>
      </c>
      <c r="V87">
        <v>0</v>
      </c>
      <c r="W87">
        <v>1</v>
      </c>
      <c r="X87">
        <v>0</v>
      </c>
      <c r="Y87">
        <v>0</v>
      </c>
      <c r="Z87">
        <v>1</v>
      </c>
      <c r="AA87">
        <v>1</v>
      </c>
      <c r="AB87">
        <v>0</v>
      </c>
      <c r="AC87" t="s">
        <v>59</v>
      </c>
      <c r="AD87">
        <v>1</v>
      </c>
      <c r="AE87">
        <v>0</v>
      </c>
    </row>
    <row r="88" spans="1:32" x14ac:dyDescent="0.3">
      <c r="A88" t="s">
        <v>332</v>
      </c>
      <c r="B88" s="17">
        <v>46010</v>
      </c>
      <c r="C88" s="6" t="s">
        <v>238</v>
      </c>
      <c r="D88" s="6">
        <v>4</v>
      </c>
      <c r="E88">
        <v>1</v>
      </c>
      <c r="F88">
        <v>1</v>
      </c>
      <c r="G88" s="1"/>
      <c r="H88" s="4">
        <v>0.46250000000000002</v>
      </c>
      <c r="I88" s="4">
        <v>0.47013888888888888</v>
      </c>
      <c r="J88" s="5">
        <v>32.6</v>
      </c>
      <c r="K88" s="5">
        <v>32.6</v>
      </c>
      <c r="L88" t="s">
        <v>50</v>
      </c>
      <c r="M88" t="s">
        <v>50</v>
      </c>
      <c r="N88" t="s">
        <v>35</v>
      </c>
      <c r="O88" t="s">
        <v>35</v>
      </c>
      <c r="P88" t="s">
        <v>28</v>
      </c>
      <c r="Q88" t="s">
        <v>28</v>
      </c>
      <c r="R88" s="1"/>
      <c r="S88">
        <v>1</v>
      </c>
      <c r="T88">
        <v>0</v>
      </c>
      <c r="U88">
        <v>0</v>
      </c>
      <c r="V88">
        <v>0</v>
      </c>
      <c r="W88">
        <v>0</v>
      </c>
      <c r="X88">
        <v>0</v>
      </c>
      <c r="Y88">
        <v>0</v>
      </c>
      <c r="Z88">
        <v>1</v>
      </c>
      <c r="AA88">
        <v>0</v>
      </c>
      <c r="AB88">
        <v>0</v>
      </c>
      <c r="AD88">
        <v>0</v>
      </c>
      <c r="AE88">
        <v>0</v>
      </c>
    </row>
    <row r="89" spans="1:32" x14ac:dyDescent="0.3">
      <c r="A89" t="s">
        <v>333</v>
      </c>
      <c r="B89" s="17">
        <v>45986</v>
      </c>
      <c r="C89" s="6" t="s">
        <v>236</v>
      </c>
      <c r="D89" s="6" t="s">
        <v>241</v>
      </c>
      <c r="E89">
        <v>2</v>
      </c>
      <c r="F89">
        <v>1</v>
      </c>
      <c r="G89" s="1"/>
      <c r="H89" s="4">
        <v>0.46319444444444446</v>
      </c>
      <c r="I89" s="4">
        <v>0.47291666666666665</v>
      </c>
      <c r="J89" s="5">
        <v>29.1</v>
      </c>
      <c r="K89" s="5">
        <v>29.8</v>
      </c>
      <c r="L89" t="s">
        <v>56</v>
      </c>
      <c r="M89" t="s">
        <v>56</v>
      </c>
      <c r="N89" t="s">
        <v>35</v>
      </c>
      <c r="O89" s="2" t="s">
        <v>92</v>
      </c>
      <c r="P89" t="s">
        <v>28</v>
      </c>
      <c r="Q89" t="s">
        <v>28</v>
      </c>
      <c r="R89" s="1"/>
      <c r="S89">
        <v>1</v>
      </c>
      <c r="T89">
        <v>0</v>
      </c>
      <c r="U89">
        <v>0</v>
      </c>
      <c r="V89">
        <v>1</v>
      </c>
      <c r="W89">
        <v>0</v>
      </c>
      <c r="X89">
        <v>1</v>
      </c>
      <c r="Y89">
        <v>0</v>
      </c>
      <c r="Z89">
        <v>1</v>
      </c>
      <c r="AA89">
        <v>1</v>
      </c>
      <c r="AB89">
        <v>1</v>
      </c>
      <c r="AD89">
        <v>3</v>
      </c>
      <c r="AE89">
        <v>0</v>
      </c>
    </row>
    <row r="90" spans="1:32" x14ac:dyDescent="0.3">
      <c r="A90" t="s">
        <v>334</v>
      </c>
      <c r="B90" s="17">
        <v>46000</v>
      </c>
      <c r="C90" s="6" t="s">
        <v>238</v>
      </c>
      <c r="D90" s="6">
        <v>8</v>
      </c>
      <c r="E90">
        <v>1</v>
      </c>
      <c r="F90">
        <v>2</v>
      </c>
      <c r="G90" s="1"/>
      <c r="H90" s="4">
        <v>0.46458333333333335</v>
      </c>
      <c r="I90" s="4">
        <v>0.47152777777777777</v>
      </c>
      <c r="J90" s="5">
        <v>27.9</v>
      </c>
      <c r="K90" s="5">
        <v>28</v>
      </c>
      <c r="L90" t="s">
        <v>56</v>
      </c>
      <c r="M90" t="s">
        <v>56</v>
      </c>
      <c r="N90" t="s">
        <v>37</v>
      </c>
      <c r="O90" t="s">
        <v>26</v>
      </c>
      <c r="P90" t="s">
        <v>28</v>
      </c>
      <c r="Q90" t="s">
        <v>28</v>
      </c>
      <c r="R90" s="1"/>
      <c r="S90">
        <v>1</v>
      </c>
      <c r="T90">
        <v>0</v>
      </c>
      <c r="U90">
        <v>1</v>
      </c>
      <c r="V90">
        <v>1</v>
      </c>
      <c r="W90">
        <v>1</v>
      </c>
      <c r="X90">
        <v>0</v>
      </c>
      <c r="Y90">
        <v>0</v>
      </c>
      <c r="Z90">
        <v>1</v>
      </c>
      <c r="AA90">
        <v>0</v>
      </c>
      <c r="AB90">
        <v>1</v>
      </c>
      <c r="AC90" t="s">
        <v>58</v>
      </c>
      <c r="AD90">
        <v>1</v>
      </c>
      <c r="AE90">
        <v>0</v>
      </c>
    </row>
    <row r="91" spans="1:32" x14ac:dyDescent="0.3">
      <c r="A91" t="s">
        <v>335</v>
      </c>
      <c r="B91" s="17">
        <v>45967</v>
      </c>
      <c r="C91" s="6" t="s">
        <v>236</v>
      </c>
      <c r="D91" s="6">
        <v>1</v>
      </c>
      <c r="E91">
        <v>2</v>
      </c>
      <c r="F91">
        <v>1</v>
      </c>
      <c r="G91" s="1"/>
      <c r="H91" s="4">
        <v>0.46527777777777779</v>
      </c>
      <c r="I91" s="4">
        <v>0.47222222222222221</v>
      </c>
      <c r="J91" s="5">
        <v>17</v>
      </c>
      <c r="K91" s="5">
        <v>17.399999999999999</v>
      </c>
      <c r="L91" t="s">
        <v>50</v>
      </c>
      <c r="M91" t="s">
        <v>50</v>
      </c>
      <c r="N91" t="s">
        <v>37</v>
      </c>
      <c r="O91" s="2" t="s">
        <v>92</v>
      </c>
      <c r="P91" t="s">
        <v>93</v>
      </c>
      <c r="Q91" t="s">
        <v>93</v>
      </c>
      <c r="R91" s="1"/>
      <c r="S91">
        <v>1</v>
      </c>
      <c r="T91">
        <v>0</v>
      </c>
      <c r="U91">
        <v>1</v>
      </c>
      <c r="V91">
        <v>1</v>
      </c>
      <c r="W91">
        <v>0</v>
      </c>
      <c r="X91">
        <v>0</v>
      </c>
      <c r="Y91">
        <v>0</v>
      </c>
      <c r="Z91">
        <v>1</v>
      </c>
      <c r="AA91">
        <v>1</v>
      </c>
      <c r="AB91">
        <v>0</v>
      </c>
      <c r="AC91" t="s">
        <v>145</v>
      </c>
      <c r="AD91">
        <v>0</v>
      </c>
      <c r="AE91">
        <v>0</v>
      </c>
    </row>
    <row r="92" spans="1:32" x14ac:dyDescent="0.3">
      <c r="A92" t="s">
        <v>336</v>
      </c>
      <c r="B92" s="17">
        <v>45967</v>
      </c>
      <c r="C92" s="6" t="s">
        <v>236</v>
      </c>
      <c r="D92" s="6">
        <v>1</v>
      </c>
      <c r="E92">
        <v>2</v>
      </c>
      <c r="F92">
        <v>1</v>
      </c>
      <c r="G92" s="1"/>
      <c r="H92" s="4">
        <v>0.46527777777777779</v>
      </c>
      <c r="I92" s="4">
        <v>0.47222222222222221</v>
      </c>
      <c r="J92" s="5">
        <v>17</v>
      </c>
      <c r="K92" s="5">
        <v>17.399999999999999</v>
      </c>
      <c r="L92" t="s">
        <v>50</v>
      </c>
      <c r="M92" t="s">
        <v>50</v>
      </c>
      <c r="N92" t="s">
        <v>37</v>
      </c>
      <c r="O92" s="2" t="s">
        <v>92</v>
      </c>
      <c r="P92" t="s">
        <v>93</v>
      </c>
      <c r="Q92" t="s">
        <v>93</v>
      </c>
      <c r="R92" s="1"/>
      <c r="S92">
        <v>1</v>
      </c>
      <c r="T92">
        <v>0</v>
      </c>
      <c r="U92">
        <v>1</v>
      </c>
      <c r="V92">
        <v>1</v>
      </c>
      <c r="W92">
        <v>0</v>
      </c>
      <c r="X92">
        <v>0</v>
      </c>
      <c r="Y92">
        <v>0</v>
      </c>
      <c r="Z92">
        <v>0</v>
      </c>
      <c r="AA92">
        <v>1</v>
      </c>
      <c r="AB92">
        <v>0</v>
      </c>
      <c r="AC92" t="s">
        <v>141</v>
      </c>
      <c r="AD92">
        <v>0</v>
      </c>
      <c r="AE92">
        <v>0</v>
      </c>
    </row>
    <row r="93" spans="1:32" x14ac:dyDescent="0.3">
      <c r="A93" t="s">
        <v>337</v>
      </c>
      <c r="B93" s="17">
        <v>45981</v>
      </c>
      <c r="C93" s="6" t="s">
        <v>238</v>
      </c>
      <c r="D93" s="6">
        <v>2</v>
      </c>
      <c r="E93">
        <v>1</v>
      </c>
      <c r="F93">
        <v>1</v>
      </c>
      <c r="G93" s="1"/>
      <c r="H93" s="4">
        <v>0.46527777777777779</v>
      </c>
      <c r="I93" s="4">
        <v>0.47222222222222221</v>
      </c>
      <c r="J93" s="5">
        <v>24.6</v>
      </c>
      <c r="K93" s="5">
        <v>25.9</v>
      </c>
      <c r="L93" t="s">
        <v>50</v>
      </c>
      <c r="M93" t="s">
        <v>50</v>
      </c>
      <c r="N93" t="s">
        <v>26</v>
      </c>
      <c r="O93" s="2" t="s">
        <v>92</v>
      </c>
      <c r="P93" t="s">
        <v>28</v>
      </c>
      <c r="Q93" t="s">
        <v>28</v>
      </c>
      <c r="R93" s="1"/>
      <c r="S93">
        <v>1</v>
      </c>
      <c r="T93">
        <v>0</v>
      </c>
      <c r="U93">
        <v>1</v>
      </c>
      <c r="V93">
        <v>0</v>
      </c>
      <c r="W93">
        <v>0</v>
      </c>
      <c r="X93">
        <v>1</v>
      </c>
      <c r="Y93">
        <v>0</v>
      </c>
      <c r="Z93">
        <v>1</v>
      </c>
      <c r="AA93">
        <v>1</v>
      </c>
      <c r="AB93">
        <v>1</v>
      </c>
      <c r="AC93" t="s">
        <v>112</v>
      </c>
      <c r="AD93">
        <v>2</v>
      </c>
      <c r="AE93">
        <v>0</v>
      </c>
      <c r="AF93" t="s">
        <v>72</v>
      </c>
    </row>
    <row r="94" spans="1:32" x14ac:dyDescent="0.3">
      <c r="A94" t="s">
        <v>338</v>
      </c>
      <c r="B94" s="17">
        <v>45986</v>
      </c>
      <c r="C94" s="6" t="s">
        <v>236</v>
      </c>
      <c r="D94" s="6" t="s">
        <v>241</v>
      </c>
      <c r="E94">
        <v>2</v>
      </c>
      <c r="F94">
        <v>1</v>
      </c>
      <c r="G94" s="1"/>
      <c r="H94" s="4">
        <v>0.46527777777777779</v>
      </c>
      <c r="I94" s="4">
        <v>0.47222222222222221</v>
      </c>
      <c r="J94" s="5">
        <v>29.1</v>
      </c>
      <c r="K94" s="5">
        <v>29.8</v>
      </c>
      <c r="L94" t="s">
        <v>56</v>
      </c>
      <c r="M94" t="s">
        <v>56</v>
      </c>
      <c r="N94" t="s">
        <v>35</v>
      </c>
      <c r="O94" s="2" t="s">
        <v>92</v>
      </c>
      <c r="P94" t="s">
        <v>28</v>
      </c>
      <c r="Q94" t="s">
        <v>28</v>
      </c>
      <c r="R94" s="1"/>
      <c r="S94">
        <v>1</v>
      </c>
      <c r="T94">
        <v>1</v>
      </c>
      <c r="U94">
        <v>1</v>
      </c>
      <c r="V94">
        <v>0</v>
      </c>
      <c r="W94">
        <v>0</v>
      </c>
      <c r="X94">
        <v>1</v>
      </c>
      <c r="Y94">
        <v>0</v>
      </c>
      <c r="Z94">
        <v>1</v>
      </c>
      <c r="AA94">
        <v>1</v>
      </c>
      <c r="AB94">
        <v>1</v>
      </c>
      <c r="AD94">
        <v>5</v>
      </c>
      <c r="AE94">
        <v>0</v>
      </c>
    </row>
    <row r="95" spans="1:32" x14ac:dyDescent="0.3">
      <c r="A95" t="s">
        <v>339</v>
      </c>
      <c r="B95" s="20" t="s">
        <v>105</v>
      </c>
      <c r="C95" s="6" t="s">
        <v>238</v>
      </c>
      <c r="D95" s="6">
        <v>2</v>
      </c>
      <c r="E95">
        <v>1</v>
      </c>
      <c r="F95">
        <v>1</v>
      </c>
      <c r="G95" s="1"/>
      <c r="H95" s="4">
        <v>0.46527777777777779</v>
      </c>
      <c r="I95" s="4">
        <v>0.47222222222222221</v>
      </c>
      <c r="J95" s="5">
        <v>24.6</v>
      </c>
      <c r="K95" s="5">
        <v>25.9</v>
      </c>
      <c r="L95" t="s">
        <v>50</v>
      </c>
      <c r="M95" t="s">
        <v>50</v>
      </c>
      <c r="N95" t="s">
        <v>37</v>
      </c>
      <c r="O95" s="2" t="s">
        <v>92</v>
      </c>
      <c r="P95" t="s">
        <v>28</v>
      </c>
      <c r="Q95" t="s">
        <v>28</v>
      </c>
      <c r="R95" s="1"/>
      <c r="S95">
        <v>1</v>
      </c>
      <c r="T95">
        <v>1</v>
      </c>
      <c r="U95">
        <v>1</v>
      </c>
      <c r="V95">
        <v>1</v>
      </c>
      <c r="W95">
        <v>0</v>
      </c>
      <c r="X95">
        <v>0</v>
      </c>
      <c r="Y95">
        <v>0</v>
      </c>
      <c r="Z95">
        <v>1</v>
      </c>
      <c r="AA95">
        <v>1</v>
      </c>
      <c r="AB95">
        <v>1</v>
      </c>
      <c r="AC95" t="s">
        <v>106</v>
      </c>
      <c r="AD95">
        <v>0</v>
      </c>
      <c r="AE95">
        <v>0</v>
      </c>
      <c r="AF95" t="s">
        <v>72</v>
      </c>
    </row>
    <row r="96" spans="1:32" x14ac:dyDescent="0.3">
      <c r="A96" t="s">
        <v>340</v>
      </c>
      <c r="B96" s="17">
        <v>46008</v>
      </c>
      <c r="C96" s="6" t="s">
        <v>238</v>
      </c>
      <c r="D96" s="6">
        <v>4</v>
      </c>
      <c r="E96">
        <v>1</v>
      </c>
      <c r="F96">
        <v>2</v>
      </c>
      <c r="G96" s="1"/>
      <c r="H96" s="4">
        <v>0.46666666666666667</v>
      </c>
      <c r="I96" s="4">
        <v>0.47361111111111109</v>
      </c>
      <c r="J96" s="5">
        <v>23.2</v>
      </c>
      <c r="K96" s="5">
        <v>24.8</v>
      </c>
      <c r="L96" t="s">
        <v>56</v>
      </c>
      <c r="M96" t="s">
        <v>56</v>
      </c>
      <c r="N96" t="s">
        <v>37</v>
      </c>
      <c r="O96" t="s">
        <v>26</v>
      </c>
      <c r="P96" t="s">
        <v>28</v>
      </c>
      <c r="Q96" t="s">
        <v>28</v>
      </c>
      <c r="R96" s="1"/>
      <c r="S96">
        <v>1</v>
      </c>
      <c r="T96">
        <v>0</v>
      </c>
      <c r="U96">
        <v>0</v>
      </c>
      <c r="V96">
        <v>1</v>
      </c>
      <c r="W96">
        <v>0</v>
      </c>
      <c r="X96">
        <v>0</v>
      </c>
      <c r="Y96">
        <v>0</v>
      </c>
      <c r="Z96">
        <v>1</v>
      </c>
      <c r="AA96">
        <v>1</v>
      </c>
      <c r="AB96">
        <v>1</v>
      </c>
      <c r="AD96">
        <v>1</v>
      </c>
      <c r="AE96">
        <v>0</v>
      </c>
      <c r="AF96" t="s">
        <v>169</v>
      </c>
    </row>
    <row r="97" spans="1:32" x14ac:dyDescent="0.3">
      <c r="A97" t="s">
        <v>341</v>
      </c>
      <c r="B97" s="17">
        <v>46008</v>
      </c>
      <c r="C97" s="6" t="s">
        <v>238</v>
      </c>
      <c r="D97" s="6">
        <v>4</v>
      </c>
      <c r="E97">
        <v>1</v>
      </c>
      <c r="F97">
        <v>2</v>
      </c>
      <c r="G97" s="1"/>
      <c r="H97" s="4">
        <v>0.46666666666666667</v>
      </c>
      <c r="I97" s="4">
        <v>0.47430555555555554</v>
      </c>
      <c r="J97" s="5">
        <v>23.2</v>
      </c>
      <c r="K97" s="5">
        <v>24.8</v>
      </c>
      <c r="L97" t="s">
        <v>56</v>
      </c>
      <c r="M97" t="s">
        <v>56</v>
      </c>
      <c r="N97" t="s">
        <v>47</v>
      </c>
      <c r="O97" t="s">
        <v>47</v>
      </c>
      <c r="P97" t="s">
        <v>28</v>
      </c>
      <c r="Q97" t="s">
        <v>28</v>
      </c>
      <c r="R97" s="1"/>
      <c r="S97">
        <v>1</v>
      </c>
      <c r="T97">
        <v>0</v>
      </c>
      <c r="U97">
        <v>0</v>
      </c>
      <c r="V97">
        <v>1</v>
      </c>
      <c r="W97">
        <v>1</v>
      </c>
      <c r="X97">
        <v>0</v>
      </c>
      <c r="Y97">
        <v>0</v>
      </c>
      <c r="Z97">
        <v>1</v>
      </c>
      <c r="AA97">
        <v>1</v>
      </c>
      <c r="AB97">
        <v>1</v>
      </c>
      <c r="AD97">
        <v>0</v>
      </c>
      <c r="AE97">
        <v>0</v>
      </c>
      <c r="AF97" t="s">
        <v>174</v>
      </c>
    </row>
    <row r="98" spans="1:32" x14ac:dyDescent="0.3">
      <c r="A98" t="s">
        <v>342</v>
      </c>
      <c r="B98" s="17">
        <v>45964</v>
      </c>
      <c r="C98" s="6" t="s">
        <v>236</v>
      </c>
      <c r="D98" s="6">
        <v>1</v>
      </c>
      <c r="E98">
        <v>3</v>
      </c>
      <c r="F98">
        <v>1</v>
      </c>
      <c r="G98" s="1"/>
      <c r="H98" s="4">
        <v>0.46736111111111112</v>
      </c>
      <c r="I98" s="4">
        <v>0.47499999999999998</v>
      </c>
      <c r="J98" s="5">
        <v>23.1</v>
      </c>
      <c r="K98" s="5">
        <v>23.8</v>
      </c>
      <c r="L98" t="s">
        <v>25</v>
      </c>
      <c r="M98" s="2" t="s">
        <v>92</v>
      </c>
      <c r="N98" t="s">
        <v>35</v>
      </c>
      <c r="O98" s="2" t="s">
        <v>92</v>
      </c>
      <c r="P98" s="2" t="s">
        <v>92</v>
      </c>
      <c r="Q98" s="2" t="s">
        <v>92</v>
      </c>
      <c r="R98" s="1"/>
      <c r="S98">
        <v>0</v>
      </c>
      <c r="T98">
        <v>1</v>
      </c>
      <c r="U98">
        <v>1</v>
      </c>
      <c r="V98">
        <v>1</v>
      </c>
      <c r="W98">
        <v>0</v>
      </c>
      <c r="X98">
        <v>0</v>
      </c>
      <c r="Y98">
        <v>0</v>
      </c>
      <c r="Z98">
        <v>0</v>
      </c>
      <c r="AA98">
        <v>1</v>
      </c>
      <c r="AB98">
        <v>0</v>
      </c>
      <c r="AC98" t="s">
        <v>153</v>
      </c>
      <c r="AD98">
        <v>0</v>
      </c>
      <c r="AE98">
        <v>0</v>
      </c>
    </row>
    <row r="99" spans="1:32" x14ac:dyDescent="0.3">
      <c r="A99" t="s">
        <v>343</v>
      </c>
      <c r="B99" s="17">
        <v>45964</v>
      </c>
      <c r="C99" s="6" t="s">
        <v>236</v>
      </c>
      <c r="D99" s="6">
        <v>1</v>
      </c>
      <c r="E99">
        <v>3</v>
      </c>
      <c r="F99">
        <v>1</v>
      </c>
      <c r="G99" s="1"/>
      <c r="H99" s="4">
        <v>0.46736111111111112</v>
      </c>
      <c r="I99" s="4">
        <v>0.47499999999999998</v>
      </c>
      <c r="J99" s="5">
        <v>23.1</v>
      </c>
      <c r="K99" s="5">
        <v>23.8</v>
      </c>
      <c r="L99" t="s">
        <v>25</v>
      </c>
      <c r="M99" s="2" t="s">
        <v>92</v>
      </c>
      <c r="N99" t="s">
        <v>35</v>
      </c>
      <c r="O99" s="2" t="s">
        <v>92</v>
      </c>
      <c r="P99" s="2" t="s">
        <v>92</v>
      </c>
      <c r="Q99" s="2" t="s">
        <v>92</v>
      </c>
      <c r="R99" s="1"/>
      <c r="S99">
        <v>1</v>
      </c>
      <c r="T99">
        <v>0</v>
      </c>
      <c r="U99">
        <v>1</v>
      </c>
      <c r="V99">
        <v>0</v>
      </c>
      <c r="W99">
        <v>0</v>
      </c>
      <c r="X99">
        <v>0</v>
      </c>
      <c r="Y99">
        <v>0</v>
      </c>
      <c r="Z99">
        <v>0</v>
      </c>
      <c r="AA99">
        <v>1</v>
      </c>
      <c r="AB99">
        <v>0</v>
      </c>
      <c r="AC99" t="s">
        <v>150</v>
      </c>
      <c r="AD99">
        <v>0</v>
      </c>
      <c r="AE99">
        <v>0</v>
      </c>
      <c r="AF99" s="2" t="s">
        <v>152</v>
      </c>
    </row>
    <row r="100" spans="1:32" x14ac:dyDescent="0.3">
      <c r="A100" t="s">
        <v>344</v>
      </c>
      <c r="B100" s="17">
        <v>45998</v>
      </c>
      <c r="C100" s="6" t="s">
        <v>238</v>
      </c>
      <c r="D100" s="6">
        <v>4</v>
      </c>
      <c r="E100">
        <v>1</v>
      </c>
      <c r="F100">
        <v>2</v>
      </c>
      <c r="G100" s="1"/>
      <c r="H100" s="4">
        <v>0.46736111111111112</v>
      </c>
      <c r="I100" s="4">
        <v>0.47430555555555554</v>
      </c>
      <c r="J100" s="5">
        <v>20.399999999999999</v>
      </c>
      <c r="K100" s="5">
        <v>21.4</v>
      </c>
      <c r="L100" t="s">
        <v>50</v>
      </c>
      <c r="M100" t="s">
        <v>50</v>
      </c>
      <c r="N100" t="s">
        <v>37</v>
      </c>
      <c r="O100" t="s">
        <v>26</v>
      </c>
      <c r="P100" t="s">
        <v>28</v>
      </c>
      <c r="Q100" t="s">
        <v>28</v>
      </c>
      <c r="R100" s="1"/>
      <c r="S100">
        <v>1</v>
      </c>
      <c r="T100">
        <v>0</v>
      </c>
      <c r="U100">
        <v>0</v>
      </c>
      <c r="V100">
        <v>1</v>
      </c>
      <c r="W100">
        <v>1</v>
      </c>
      <c r="X100">
        <v>0</v>
      </c>
      <c r="Y100">
        <v>0</v>
      </c>
      <c r="Z100">
        <v>1</v>
      </c>
      <c r="AA100">
        <v>0</v>
      </c>
      <c r="AB100">
        <v>1</v>
      </c>
      <c r="AD100">
        <v>1</v>
      </c>
      <c r="AE100">
        <v>0</v>
      </c>
      <c r="AF100" t="s">
        <v>87</v>
      </c>
    </row>
    <row r="101" spans="1:32" x14ac:dyDescent="0.3">
      <c r="A101" t="s">
        <v>345</v>
      </c>
      <c r="B101" s="17">
        <v>46001</v>
      </c>
      <c r="C101" s="6" t="s">
        <v>238</v>
      </c>
      <c r="D101" s="6">
        <v>4</v>
      </c>
      <c r="E101">
        <v>1</v>
      </c>
      <c r="F101">
        <v>1</v>
      </c>
      <c r="G101" s="1"/>
      <c r="H101" s="4">
        <v>0.46736111111111112</v>
      </c>
      <c r="I101" s="4">
        <v>0.47430555555555554</v>
      </c>
      <c r="J101" s="5">
        <v>21.3</v>
      </c>
      <c r="K101" s="5">
        <v>22.1</v>
      </c>
      <c r="L101" t="s">
        <v>50</v>
      </c>
      <c r="M101" t="s">
        <v>50</v>
      </c>
      <c r="N101" t="s">
        <v>37</v>
      </c>
      <c r="O101" t="s">
        <v>37</v>
      </c>
      <c r="P101" t="s">
        <v>28</v>
      </c>
      <c r="Q101" t="s">
        <v>28</v>
      </c>
      <c r="R101" s="1"/>
      <c r="S101">
        <v>1</v>
      </c>
      <c r="T101">
        <v>0</v>
      </c>
      <c r="U101">
        <v>1</v>
      </c>
      <c r="V101">
        <v>1</v>
      </c>
      <c r="W101">
        <v>1</v>
      </c>
      <c r="X101">
        <v>0</v>
      </c>
      <c r="Y101">
        <v>0</v>
      </c>
      <c r="Z101">
        <v>1</v>
      </c>
      <c r="AA101">
        <v>0</v>
      </c>
      <c r="AB101">
        <v>1</v>
      </c>
      <c r="AD101">
        <v>0</v>
      </c>
      <c r="AE101">
        <v>0</v>
      </c>
      <c r="AF101" t="s">
        <v>52</v>
      </c>
    </row>
    <row r="102" spans="1:32" x14ac:dyDescent="0.3">
      <c r="A102" t="s">
        <v>346</v>
      </c>
      <c r="B102" s="17">
        <v>46001</v>
      </c>
      <c r="C102" s="6" t="s">
        <v>238</v>
      </c>
      <c r="D102" s="6">
        <v>4</v>
      </c>
      <c r="E102">
        <v>1</v>
      </c>
      <c r="F102">
        <v>1</v>
      </c>
      <c r="G102" s="1"/>
      <c r="H102" s="4">
        <v>0.46736111111111112</v>
      </c>
      <c r="I102" s="4">
        <v>0.47430555555555554</v>
      </c>
      <c r="J102" s="5">
        <v>21.3</v>
      </c>
      <c r="K102" s="5">
        <v>22.1</v>
      </c>
      <c r="L102" t="s">
        <v>50</v>
      </c>
      <c r="M102" t="s">
        <v>50</v>
      </c>
      <c r="N102" t="s">
        <v>26</v>
      </c>
      <c r="O102" t="s">
        <v>26</v>
      </c>
      <c r="P102" t="s">
        <v>28</v>
      </c>
      <c r="Q102" t="s">
        <v>28</v>
      </c>
      <c r="R102" s="1"/>
      <c r="S102">
        <v>1</v>
      </c>
      <c r="T102">
        <v>0</v>
      </c>
      <c r="U102">
        <v>1</v>
      </c>
      <c r="V102">
        <v>1</v>
      </c>
      <c r="W102">
        <v>0</v>
      </c>
      <c r="X102">
        <v>0</v>
      </c>
      <c r="Y102">
        <v>0</v>
      </c>
      <c r="Z102">
        <v>1</v>
      </c>
      <c r="AA102">
        <v>0</v>
      </c>
      <c r="AB102">
        <v>1</v>
      </c>
      <c r="AC102" t="s">
        <v>51</v>
      </c>
      <c r="AD102">
        <v>0</v>
      </c>
      <c r="AE102">
        <v>0</v>
      </c>
    </row>
    <row r="103" spans="1:32" x14ac:dyDescent="0.3">
      <c r="A103" t="s">
        <v>347</v>
      </c>
      <c r="B103" s="17">
        <v>46009</v>
      </c>
      <c r="C103" s="6" t="s">
        <v>236</v>
      </c>
      <c r="D103" s="6">
        <v>5</v>
      </c>
      <c r="E103">
        <v>2</v>
      </c>
      <c r="F103">
        <v>1</v>
      </c>
      <c r="G103" s="1"/>
      <c r="H103" s="4">
        <v>0.47013888888888888</v>
      </c>
      <c r="I103" s="4">
        <v>0.47708333333333336</v>
      </c>
      <c r="J103" s="5">
        <v>31</v>
      </c>
      <c r="K103" s="5">
        <v>32</v>
      </c>
      <c r="L103" t="s">
        <v>30</v>
      </c>
      <c r="M103" t="s">
        <v>30</v>
      </c>
      <c r="N103" t="s">
        <v>35</v>
      </c>
      <c r="O103" t="s">
        <v>35</v>
      </c>
      <c r="P103" t="s">
        <v>28</v>
      </c>
      <c r="Q103" t="s">
        <v>28</v>
      </c>
      <c r="R103" s="1"/>
      <c r="S103">
        <v>1</v>
      </c>
      <c r="T103">
        <v>0</v>
      </c>
      <c r="U103">
        <v>0</v>
      </c>
      <c r="V103">
        <v>0</v>
      </c>
      <c r="W103">
        <v>0</v>
      </c>
      <c r="X103">
        <v>0</v>
      </c>
      <c r="Y103">
        <v>0</v>
      </c>
      <c r="Z103">
        <v>1</v>
      </c>
      <c r="AA103">
        <v>0</v>
      </c>
      <c r="AB103">
        <v>1</v>
      </c>
      <c r="AC103" t="s">
        <v>51</v>
      </c>
      <c r="AD103">
        <v>1</v>
      </c>
      <c r="AE103">
        <v>0</v>
      </c>
    </row>
    <row r="104" spans="1:32" x14ac:dyDescent="0.3">
      <c r="A104" t="s">
        <v>348</v>
      </c>
      <c r="B104" s="17">
        <v>46009</v>
      </c>
      <c r="C104" s="6" t="s">
        <v>236</v>
      </c>
      <c r="D104" s="6">
        <v>5</v>
      </c>
      <c r="E104">
        <v>2</v>
      </c>
      <c r="F104">
        <v>1</v>
      </c>
      <c r="G104" s="1"/>
      <c r="H104" s="4">
        <v>0.47013888888888888</v>
      </c>
      <c r="I104" s="4">
        <v>0.47708333333333336</v>
      </c>
      <c r="J104" s="5">
        <v>31</v>
      </c>
      <c r="K104" s="5">
        <v>32</v>
      </c>
      <c r="L104" t="s">
        <v>30</v>
      </c>
      <c r="M104" t="s">
        <v>30</v>
      </c>
      <c r="N104" t="s">
        <v>26</v>
      </c>
      <c r="O104" t="s">
        <v>35</v>
      </c>
      <c r="P104" t="s">
        <v>28</v>
      </c>
      <c r="Q104" t="s">
        <v>28</v>
      </c>
      <c r="R104" s="1"/>
      <c r="S104">
        <v>1</v>
      </c>
      <c r="T104">
        <v>0</v>
      </c>
      <c r="U104">
        <v>0</v>
      </c>
      <c r="V104">
        <v>1</v>
      </c>
      <c r="W104">
        <v>0</v>
      </c>
      <c r="X104">
        <v>0</v>
      </c>
      <c r="Y104">
        <v>0</v>
      </c>
      <c r="Z104">
        <v>1</v>
      </c>
      <c r="AA104">
        <v>0</v>
      </c>
      <c r="AB104">
        <v>1</v>
      </c>
      <c r="AD104">
        <v>0</v>
      </c>
      <c r="AE104">
        <v>0</v>
      </c>
    </row>
    <row r="105" spans="1:32" x14ac:dyDescent="0.3">
      <c r="A105" t="s">
        <v>349</v>
      </c>
      <c r="B105" s="17">
        <v>45974</v>
      </c>
      <c r="C105" s="6" t="s">
        <v>236</v>
      </c>
      <c r="D105" s="6">
        <v>1</v>
      </c>
      <c r="E105">
        <v>2</v>
      </c>
      <c r="F105">
        <v>1</v>
      </c>
      <c r="G105" s="1"/>
      <c r="H105" s="4">
        <v>0.47083333333333333</v>
      </c>
      <c r="I105" s="4">
        <v>0.4777777777777778</v>
      </c>
      <c r="J105" s="5">
        <v>20</v>
      </c>
      <c r="K105" s="5">
        <v>20.6</v>
      </c>
      <c r="L105" t="s">
        <v>50</v>
      </c>
      <c r="M105" t="s">
        <v>32</v>
      </c>
      <c r="N105" t="s">
        <v>31</v>
      </c>
      <c r="O105" s="2" t="s">
        <v>92</v>
      </c>
      <c r="P105" t="s">
        <v>28</v>
      </c>
      <c r="Q105" t="s">
        <v>28</v>
      </c>
      <c r="R105" s="1"/>
      <c r="S105">
        <v>1</v>
      </c>
      <c r="T105">
        <v>0</v>
      </c>
      <c r="U105">
        <v>1</v>
      </c>
      <c r="V105">
        <v>0</v>
      </c>
      <c r="W105">
        <v>0</v>
      </c>
      <c r="X105">
        <v>1</v>
      </c>
      <c r="Y105">
        <v>0</v>
      </c>
      <c r="Z105">
        <v>1</v>
      </c>
      <c r="AA105">
        <v>1</v>
      </c>
      <c r="AB105">
        <v>0</v>
      </c>
      <c r="AC105" t="s">
        <v>194</v>
      </c>
      <c r="AD105">
        <v>0</v>
      </c>
      <c r="AE105">
        <v>0</v>
      </c>
    </row>
    <row r="106" spans="1:32" x14ac:dyDescent="0.3">
      <c r="A106" t="s">
        <v>350</v>
      </c>
      <c r="B106" s="17">
        <v>45974</v>
      </c>
      <c r="C106" s="6" t="s">
        <v>236</v>
      </c>
      <c r="D106" s="6">
        <v>1</v>
      </c>
      <c r="E106">
        <v>2</v>
      </c>
      <c r="F106">
        <v>1</v>
      </c>
      <c r="G106" s="1"/>
      <c r="H106" s="4">
        <v>0.47083333333333333</v>
      </c>
      <c r="I106" s="4">
        <v>0.4777777777777778</v>
      </c>
      <c r="J106" s="5">
        <v>20</v>
      </c>
      <c r="K106" s="5">
        <v>20.6</v>
      </c>
      <c r="L106" t="s">
        <v>32</v>
      </c>
      <c r="M106" t="s">
        <v>32</v>
      </c>
      <c r="N106" t="s">
        <v>31</v>
      </c>
      <c r="O106" s="2" t="s">
        <v>92</v>
      </c>
      <c r="P106" t="s">
        <v>28</v>
      </c>
      <c r="Q106" t="s">
        <v>28</v>
      </c>
      <c r="R106" s="1"/>
      <c r="S106">
        <v>0</v>
      </c>
      <c r="T106">
        <v>0</v>
      </c>
      <c r="U106">
        <v>1</v>
      </c>
      <c r="V106">
        <v>0</v>
      </c>
      <c r="W106">
        <v>0</v>
      </c>
      <c r="X106">
        <v>0</v>
      </c>
      <c r="Y106">
        <v>0</v>
      </c>
      <c r="Z106">
        <v>1</v>
      </c>
      <c r="AA106">
        <v>0</v>
      </c>
      <c r="AB106">
        <v>0</v>
      </c>
      <c r="AC106" t="s">
        <v>195</v>
      </c>
      <c r="AD106">
        <v>0</v>
      </c>
      <c r="AE106">
        <v>0</v>
      </c>
    </row>
    <row r="107" spans="1:32" x14ac:dyDescent="0.3">
      <c r="A107" t="s">
        <v>351</v>
      </c>
      <c r="B107" s="17">
        <v>46010</v>
      </c>
      <c r="C107" s="6" t="s">
        <v>238</v>
      </c>
      <c r="D107" s="6">
        <v>4</v>
      </c>
      <c r="E107">
        <v>1</v>
      </c>
      <c r="F107">
        <v>2</v>
      </c>
      <c r="G107" s="1"/>
      <c r="H107" s="4">
        <v>0.47083333333333333</v>
      </c>
      <c r="I107" s="4">
        <v>0.4777777777777778</v>
      </c>
      <c r="J107" s="5">
        <v>32.6</v>
      </c>
      <c r="K107" s="5">
        <v>33</v>
      </c>
      <c r="L107" t="s">
        <v>50</v>
      </c>
      <c r="M107" t="s">
        <v>50</v>
      </c>
      <c r="N107" t="s">
        <v>35</v>
      </c>
      <c r="O107" t="s">
        <v>26</v>
      </c>
      <c r="P107" t="s">
        <v>28</v>
      </c>
      <c r="Q107" t="s">
        <v>28</v>
      </c>
      <c r="R107" s="1"/>
      <c r="S107">
        <v>1</v>
      </c>
      <c r="T107">
        <v>0</v>
      </c>
      <c r="U107">
        <v>0</v>
      </c>
      <c r="V107">
        <v>0</v>
      </c>
      <c r="W107">
        <v>1</v>
      </c>
      <c r="X107">
        <v>0</v>
      </c>
      <c r="Y107">
        <v>0</v>
      </c>
      <c r="Z107">
        <v>1</v>
      </c>
      <c r="AA107">
        <v>0</v>
      </c>
      <c r="AB107">
        <v>1</v>
      </c>
      <c r="AC107" t="s">
        <v>170</v>
      </c>
      <c r="AD107">
        <v>1</v>
      </c>
      <c r="AE107">
        <v>0</v>
      </c>
    </row>
    <row r="108" spans="1:32" x14ac:dyDescent="0.3">
      <c r="A108" t="s">
        <v>352</v>
      </c>
      <c r="B108" s="17">
        <v>46010</v>
      </c>
      <c r="C108" s="6" t="s">
        <v>238</v>
      </c>
      <c r="D108" s="6">
        <v>4</v>
      </c>
      <c r="E108">
        <v>1</v>
      </c>
      <c r="F108">
        <v>2</v>
      </c>
      <c r="G108" s="1"/>
      <c r="H108" s="4">
        <v>0.47083333333333333</v>
      </c>
      <c r="I108" s="4">
        <v>0.47847222222222224</v>
      </c>
      <c r="J108" s="5">
        <v>32.6</v>
      </c>
      <c r="K108" s="5">
        <v>33</v>
      </c>
      <c r="L108" t="s">
        <v>50</v>
      </c>
      <c r="M108" t="s">
        <v>56</v>
      </c>
      <c r="N108" t="s">
        <v>35</v>
      </c>
      <c r="O108" t="s">
        <v>35</v>
      </c>
      <c r="P108" t="s">
        <v>28</v>
      </c>
      <c r="Q108" t="s">
        <v>28</v>
      </c>
      <c r="R108" s="1"/>
      <c r="S108">
        <v>1</v>
      </c>
      <c r="T108">
        <v>0</v>
      </c>
      <c r="U108">
        <v>0</v>
      </c>
      <c r="V108">
        <v>1</v>
      </c>
      <c r="W108">
        <v>0</v>
      </c>
      <c r="X108">
        <v>0</v>
      </c>
      <c r="Y108">
        <v>0</v>
      </c>
      <c r="Z108">
        <v>1</v>
      </c>
      <c r="AA108">
        <v>1</v>
      </c>
      <c r="AB108">
        <v>1</v>
      </c>
      <c r="AD108">
        <v>0</v>
      </c>
      <c r="AE108">
        <v>0</v>
      </c>
    </row>
    <row r="109" spans="1:32" x14ac:dyDescent="0.3">
      <c r="A109" t="s">
        <v>353</v>
      </c>
      <c r="B109" s="17">
        <v>45975</v>
      </c>
      <c r="C109" s="6" t="s">
        <v>236</v>
      </c>
      <c r="D109" s="6" t="s">
        <v>242</v>
      </c>
      <c r="E109">
        <v>1</v>
      </c>
      <c r="F109">
        <v>2</v>
      </c>
      <c r="G109" s="1"/>
      <c r="H109" s="4">
        <v>0.47222222222222221</v>
      </c>
      <c r="I109" s="4">
        <v>0.47986111111111113</v>
      </c>
      <c r="J109" s="5">
        <v>23.5</v>
      </c>
      <c r="K109" s="5">
        <v>23.6</v>
      </c>
      <c r="L109" t="s">
        <v>25</v>
      </c>
      <c r="M109" t="s">
        <v>27</v>
      </c>
      <c r="N109" t="s">
        <v>35</v>
      </c>
      <c r="O109" s="2" t="s">
        <v>92</v>
      </c>
      <c r="P109" t="s">
        <v>28</v>
      </c>
      <c r="Q109" t="s">
        <v>28</v>
      </c>
      <c r="R109" s="1"/>
      <c r="S109">
        <v>0</v>
      </c>
      <c r="T109">
        <v>0</v>
      </c>
      <c r="U109">
        <v>1</v>
      </c>
      <c r="V109">
        <v>1</v>
      </c>
      <c r="W109">
        <v>0</v>
      </c>
      <c r="X109">
        <v>0</v>
      </c>
      <c r="Y109">
        <v>0</v>
      </c>
      <c r="Z109">
        <v>1</v>
      </c>
      <c r="AA109">
        <v>0</v>
      </c>
      <c r="AB109">
        <v>1</v>
      </c>
      <c r="AC109" t="s">
        <v>166</v>
      </c>
      <c r="AD109">
        <v>1</v>
      </c>
      <c r="AE109">
        <v>0</v>
      </c>
    </row>
    <row r="110" spans="1:32" x14ac:dyDescent="0.3">
      <c r="A110" t="s">
        <v>354</v>
      </c>
      <c r="B110" s="17">
        <v>45975</v>
      </c>
      <c r="C110" s="6" t="s">
        <v>236</v>
      </c>
      <c r="D110" s="6" t="s">
        <v>242</v>
      </c>
      <c r="E110">
        <v>1</v>
      </c>
      <c r="F110">
        <v>2</v>
      </c>
      <c r="G110" s="1"/>
      <c r="H110" s="4">
        <v>0.47222222222222221</v>
      </c>
      <c r="I110" s="4">
        <v>0.47916666666666669</v>
      </c>
      <c r="J110" s="5">
        <v>23.5</v>
      </c>
      <c r="K110" s="5">
        <v>23.6</v>
      </c>
      <c r="L110" t="s">
        <v>25</v>
      </c>
      <c r="M110" t="s">
        <v>27</v>
      </c>
      <c r="N110" t="s">
        <v>35</v>
      </c>
      <c r="O110" s="2" t="s">
        <v>92</v>
      </c>
      <c r="P110" t="s">
        <v>28</v>
      </c>
      <c r="Q110" t="s">
        <v>28</v>
      </c>
      <c r="R110" s="1"/>
      <c r="S110">
        <v>0</v>
      </c>
      <c r="T110">
        <v>0</v>
      </c>
      <c r="U110">
        <v>1</v>
      </c>
      <c r="V110">
        <v>1</v>
      </c>
      <c r="W110">
        <v>0</v>
      </c>
      <c r="X110">
        <v>0</v>
      </c>
      <c r="Y110">
        <v>0</v>
      </c>
      <c r="Z110">
        <v>1</v>
      </c>
      <c r="AA110">
        <v>1</v>
      </c>
      <c r="AB110">
        <v>0</v>
      </c>
      <c r="AD110">
        <v>0</v>
      </c>
      <c r="AE110">
        <v>0</v>
      </c>
    </row>
    <row r="111" spans="1:32" x14ac:dyDescent="0.3">
      <c r="A111" t="s">
        <v>355</v>
      </c>
      <c r="B111" s="17">
        <v>45999</v>
      </c>
      <c r="C111" s="6" t="s">
        <v>236</v>
      </c>
      <c r="D111" s="6">
        <v>2</v>
      </c>
      <c r="E111">
        <v>1</v>
      </c>
      <c r="F111">
        <v>1</v>
      </c>
      <c r="G111" s="1"/>
      <c r="H111" s="4">
        <v>0.47361111111111109</v>
      </c>
      <c r="I111" s="4">
        <v>0.48055555555555557</v>
      </c>
      <c r="J111" s="5">
        <v>21.8</v>
      </c>
      <c r="K111" s="5">
        <v>21.4</v>
      </c>
      <c r="L111" t="s">
        <v>27</v>
      </c>
      <c r="M111" t="s">
        <v>30</v>
      </c>
      <c r="N111" t="s">
        <v>35</v>
      </c>
      <c r="O111" t="s">
        <v>35</v>
      </c>
      <c r="P111" t="s">
        <v>28</v>
      </c>
      <c r="Q111" t="s">
        <v>28</v>
      </c>
      <c r="R111" s="1"/>
      <c r="S111">
        <v>1</v>
      </c>
      <c r="T111">
        <v>0</v>
      </c>
      <c r="U111">
        <v>0</v>
      </c>
      <c r="V111">
        <v>1</v>
      </c>
      <c r="W111">
        <v>1</v>
      </c>
      <c r="X111">
        <v>0</v>
      </c>
      <c r="Y111">
        <v>0</v>
      </c>
      <c r="Z111">
        <v>1</v>
      </c>
      <c r="AA111">
        <v>1</v>
      </c>
      <c r="AB111">
        <v>1</v>
      </c>
      <c r="AC111" t="s">
        <v>36</v>
      </c>
      <c r="AD111">
        <v>0</v>
      </c>
      <c r="AE111">
        <v>0</v>
      </c>
    </row>
    <row r="112" spans="1:32" x14ac:dyDescent="0.3">
      <c r="A112" t="s">
        <v>356</v>
      </c>
      <c r="B112" s="17">
        <v>45999</v>
      </c>
      <c r="C112" s="6" t="s">
        <v>236</v>
      </c>
      <c r="D112" s="6">
        <v>2</v>
      </c>
      <c r="E112">
        <v>1</v>
      </c>
      <c r="F112">
        <v>1</v>
      </c>
      <c r="G112" s="1"/>
      <c r="H112" s="4">
        <v>0.47361111111111109</v>
      </c>
      <c r="I112" s="4">
        <v>0.48055555555555557</v>
      </c>
      <c r="J112" s="5">
        <v>21.8</v>
      </c>
      <c r="K112" s="5">
        <v>21.4</v>
      </c>
      <c r="L112" t="s">
        <v>27</v>
      </c>
      <c r="M112" t="s">
        <v>30</v>
      </c>
      <c r="N112" t="s">
        <v>35</v>
      </c>
      <c r="O112" t="s">
        <v>35</v>
      </c>
      <c r="P112" t="s">
        <v>28</v>
      </c>
      <c r="Q112" t="s">
        <v>28</v>
      </c>
      <c r="R112" s="1"/>
      <c r="S112">
        <v>1</v>
      </c>
      <c r="T112">
        <v>0</v>
      </c>
      <c r="U112">
        <v>0</v>
      </c>
      <c r="V112">
        <v>0</v>
      </c>
      <c r="W112">
        <v>0</v>
      </c>
      <c r="X112">
        <v>0</v>
      </c>
      <c r="Y112">
        <v>0</v>
      </c>
      <c r="Z112">
        <v>1</v>
      </c>
      <c r="AA112">
        <v>0</v>
      </c>
      <c r="AB112">
        <v>1</v>
      </c>
      <c r="AC112" t="s">
        <v>217</v>
      </c>
      <c r="AD112">
        <v>0</v>
      </c>
      <c r="AE112">
        <v>0</v>
      </c>
    </row>
    <row r="113" spans="1:34" x14ac:dyDescent="0.3">
      <c r="A113" t="s">
        <v>357</v>
      </c>
      <c r="B113" s="17">
        <v>45967</v>
      </c>
      <c r="C113" s="6" t="s">
        <v>236</v>
      </c>
      <c r="D113" s="6">
        <v>1</v>
      </c>
      <c r="E113">
        <v>3</v>
      </c>
      <c r="F113">
        <v>1</v>
      </c>
      <c r="G113" s="1"/>
      <c r="H113" s="4">
        <v>0.47569444444444442</v>
      </c>
      <c r="I113" s="4">
        <v>0.48333333333333334</v>
      </c>
      <c r="J113" s="5">
        <v>18.3</v>
      </c>
      <c r="K113" s="5">
        <v>19.2</v>
      </c>
      <c r="L113" t="s">
        <v>50</v>
      </c>
      <c r="M113" t="s">
        <v>50</v>
      </c>
      <c r="N113" t="s">
        <v>26</v>
      </c>
      <c r="O113" s="2" t="s">
        <v>92</v>
      </c>
      <c r="P113" t="s">
        <v>93</v>
      </c>
      <c r="Q113" t="s">
        <v>93</v>
      </c>
      <c r="R113" s="1"/>
      <c r="S113">
        <v>0</v>
      </c>
      <c r="T113">
        <v>1</v>
      </c>
      <c r="U113">
        <v>1</v>
      </c>
      <c r="V113">
        <v>1</v>
      </c>
      <c r="W113">
        <v>0</v>
      </c>
      <c r="X113">
        <v>0</v>
      </c>
      <c r="Y113">
        <v>0</v>
      </c>
      <c r="Z113">
        <v>1</v>
      </c>
      <c r="AA113">
        <v>1</v>
      </c>
      <c r="AB113">
        <v>0</v>
      </c>
      <c r="AC113" t="s">
        <v>146</v>
      </c>
      <c r="AD113">
        <v>0</v>
      </c>
      <c r="AE113">
        <v>0</v>
      </c>
    </row>
    <row r="114" spans="1:34" x14ac:dyDescent="0.3">
      <c r="A114" t="s">
        <v>358</v>
      </c>
      <c r="B114" s="17">
        <v>45967</v>
      </c>
      <c r="C114" s="6" t="s">
        <v>236</v>
      </c>
      <c r="D114" s="6">
        <v>1</v>
      </c>
      <c r="E114">
        <v>3</v>
      </c>
      <c r="F114">
        <v>1</v>
      </c>
      <c r="G114" s="1"/>
      <c r="H114" s="4">
        <v>0.47569444444444442</v>
      </c>
      <c r="I114" s="4">
        <v>0.48333333333333334</v>
      </c>
      <c r="J114" s="5">
        <v>18.3</v>
      </c>
      <c r="K114" s="5">
        <v>19.2</v>
      </c>
      <c r="L114" t="s">
        <v>50</v>
      </c>
      <c r="M114" t="s">
        <v>50</v>
      </c>
      <c r="N114" t="s">
        <v>26</v>
      </c>
      <c r="O114" s="2" t="s">
        <v>92</v>
      </c>
      <c r="P114" t="s">
        <v>93</v>
      </c>
      <c r="Q114" t="s">
        <v>93</v>
      </c>
      <c r="R114" s="1"/>
      <c r="S114" s="2">
        <v>1</v>
      </c>
      <c r="T114" s="2">
        <v>1</v>
      </c>
      <c r="U114" s="2">
        <v>1</v>
      </c>
      <c r="V114">
        <v>1</v>
      </c>
      <c r="W114">
        <v>0</v>
      </c>
      <c r="X114">
        <v>1</v>
      </c>
      <c r="Y114">
        <v>0</v>
      </c>
      <c r="Z114">
        <v>1</v>
      </c>
      <c r="AA114">
        <v>0</v>
      </c>
      <c r="AB114">
        <v>0</v>
      </c>
      <c r="AC114" t="s">
        <v>223</v>
      </c>
      <c r="AD114">
        <v>0</v>
      </c>
      <c r="AE114">
        <v>0</v>
      </c>
    </row>
    <row r="115" spans="1:34" x14ac:dyDescent="0.3">
      <c r="A115" t="s">
        <v>359</v>
      </c>
      <c r="B115" s="17">
        <v>45973</v>
      </c>
      <c r="C115" s="6" t="s">
        <v>236</v>
      </c>
      <c r="D115" s="6">
        <v>1</v>
      </c>
      <c r="E115">
        <v>3</v>
      </c>
      <c r="F115">
        <v>1</v>
      </c>
      <c r="G115" s="1"/>
      <c r="H115" s="4">
        <v>0.47569444444444442</v>
      </c>
      <c r="I115" s="4">
        <v>0.4826388888888889</v>
      </c>
      <c r="J115" s="5">
        <v>14.1</v>
      </c>
      <c r="K115" s="5">
        <v>15</v>
      </c>
      <c r="L115" t="s">
        <v>56</v>
      </c>
      <c r="M115" t="s">
        <v>56</v>
      </c>
      <c r="N115" t="s">
        <v>35</v>
      </c>
      <c r="O115" s="2" t="s">
        <v>92</v>
      </c>
      <c r="P115" t="s">
        <v>28</v>
      </c>
      <c r="Q115" t="s">
        <v>28</v>
      </c>
      <c r="R115" s="1"/>
      <c r="S115">
        <v>1</v>
      </c>
      <c r="T115">
        <v>1</v>
      </c>
      <c r="U115">
        <v>1</v>
      </c>
      <c r="V115">
        <v>0</v>
      </c>
      <c r="W115">
        <v>1</v>
      </c>
      <c r="X115">
        <v>0</v>
      </c>
      <c r="Y115">
        <v>0</v>
      </c>
      <c r="Z115">
        <v>1</v>
      </c>
      <c r="AA115">
        <v>0</v>
      </c>
      <c r="AB115">
        <v>1</v>
      </c>
      <c r="AC115" t="s">
        <v>125</v>
      </c>
      <c r="AD115">
        <v>0</v>
      </c>
      <c r="AE115">
        <v>0</v>
      </c>
    </row>
    <row r="116" spans="1:34" x14ac:dyDescent="0.3">
      <c r="A116" t="s">
        <v>360</v>
      </c>
      <c r="B116" s="17">
        <v>45973</v>
      </c>
      <c r="C116" s="6" t="s">
        <v>236</v>
      </c>
      <c r="D116" s="6">
        <v>1</v>
      </c>
      <c r="E116">
        <v>3</v>
      </c>
      <c r="F116">
        <v>1</v>
      </c>
      <c r="G116" s="1"/>
      <c r="H116" s="4">
        <v>0.47569444444444442</v>
      </c>
      <c r="I116" s="4">
        <v>0.4826388888888889</v>
      </c>
      <c r="J116" s="5">
        <v>14.1</v>
      </c>
      <c r="K116" s="5">
        <v>15</v>
      </c>
      <c r="L116" t="s">
        <v>56</v>
      </c>
      <c r="M116" t="s">
        <v>56</v>
      </c>
      <c r="N116" t="s">
        <v>35</v>
      </c>
      <c r="O116" s="2" t="s">
        <v>92</v>
      </c>
      <c r="P116" t="s">
        <v>28</v>
      </c>
      <c r="Q116" t="s">
        <v>28</v>
      </c>
      <c r="R116" s="1"/>
      <c r="S116">
        <v>0</v>
      </c>
      <c r="T116">
        <v>0</v>
      </c>
      <c r="U116">
        <v>1</v>
      </c>
      <c r="V116">
        <v>1</v>
      </c>
      <c r="W116">
        <v>0</v>
      </c>
      <c r="X116">
        <v>0</v>
      </c>
      <c r="Y116">
        <v>0</v>
      </c>
      <c r="Z116">
        <v>1</v>
      </c>
      <c r="AA116">
        <v>1</v>
      </c>
      <c r="AB116">
        <v>0</v>
      </c>
      <c r="AC116" t="s">
        <v>123</v>
      </c>
      <c r="AD116">
        <v>0</v>
      </c>
      <c r="AE116">
        <v>0</v>
      </c>
    </row>
    <row r="117" spans="1:34" x14ac:dyDescent="0.3">
      <c r="A117" t="s">
        <v>361</v>
      </c>
      <c r="B117" s="17">
        <v>45989</v>
      </c>
      <c r="C117" s="6" t="s">
        <v>236</v>
      </c>
      <c r="D117" s="6" t="s">
        <v>242</v>
      </c>
      <c r="E117">
        <v>1</v>
      </c>
      <c r="F117">
        <v>1</v>
      </c>
      <c r="G117" s="1"/>
      <c r="H117" s="4">
        <v>0.47569444444444442</v>
      </c>
      <c r="I117" s="4">
        <v>0.4826388888888889</v>
      </c>
      <c r="J117" s="5">
        <v>23</v>
      </c>
      <c r="K117" s="5">
        <v>23</v>
      </c>
      <c r="L117" t="s">
        <v>30</v>
      </c>
      <c r="M117" t="s">
        <v>50</v>
      </c>
      <c r="N117" t="s">
        <v>31</v>
      </c>
      <c r="O117" s="2" t="s">
        <v>92</v>
      </c>
      <c r="P117" t="s">
        <v>28</v>
      </c>
      <c r="Q117" t="s">
        <v>28</v>
      </c>
      <c r="R117" s="1"/>
      <c r="S117">
        <v>1</v>
      </c>
      <c r="T117">
        <v>0</v>
      </c>
      <c r="U117">
        <v>0</v>
      </c>
      <c r="V117">
        <v>1</v>
      </c>
      <c r="W117">
        <v>0</v>
      </c>
      <c r="X117">
        <v>1</v>
      </c>
      <c r="Y117">
        <v>0</v>
      </c>
      <c r="Z117">
        <v>1</v>
      </c>
      <c r="AA117">
        <v>0</v>
      </c>
      <c r="AB117">
        <v>1</v>
      </c>
      <c r="AC117" t="s">
        <v>96</v>
      </c>
      <c r="AD117">
        <v>7</v>
      </c>
      <c r="AE117">
        <v>0</v>
      </c>
      <c r="AF117" t="s">
        <v>72</v>
      </c>
    </row>
    <row r="118" spans="1:34" x14ac:dyDescent="0.3">
      <c r="A118" t="s">
        <v>362</v>
      </c>
      <c r="B118" s="17">
        <v>45989</v>
      </c>
      <c r="C118" s="6" t="s">
        <v>236</v>
      </c>
      <c r="D118" s="6" t="s">
        <v>242</v>
      </c>
      <c r="E118">
        <v>1</v>
      </c>
      <c r="F118">
        <v>2</v>
      </c>
      <c r="G118" s="1"/>
      <c r="H118" s="4">
        <v>0.47569444444444442</v>
      </c>
      <c r="I118" s="4">
        <v>0.4826388888888889</v>
      </c>
      <c r="J118" s="5">
        <v>23</v>
      </c>
      <c r="K118" s="5">
        <v>23</v>
      </c>
      <c r="L118" t="s">
        <v>30</v>
      </c>
      <c r="M118" t="s">
        <v>50</v>
      </c>
      <c r="N118" t="s">
        <v>31</v>
      </c>
      <c r="O118" s="2" t="s">
        <v>92</v>
      </c>
      <c r="P118" t="s">
        <v>28</v>
      </c>
      <c r="Q118" t="s">
        <v>28</v>
      </c>
      <c r="R118" s="1"/>
      <c r="S118">
        <v>0</v>
      </c>
      <c r="T118">
        <v>0</v>
      </c>
      <c r="U118">
        <v>0</v>
      </c>
      <c r="V118">
        <v>1</v>
      </c>
      <c r="W118">
        <v>0</v>
      </c>
      <c r="X118">
        <v>0</v>
      </c>
      <c r="Y118">
        <v>0</v>
      </c>
      <c r="Z118">
        <v>0</v>
      </c>
      <c r="AA118">
        <v>1</v>
      </c>
      <c r="AB118">
        <v>1</v>
      </c>
      <c r="AC118" t="s">
        <v>97</v>
      </c>
      <c r="AD118">
        <v>7</v>
      </c>
      <c r="AE118">
        <v>0</v>
      </c>
      <c r="AF118" t="s">
        <v>72</v>
      </c>
    </row>
    <row r="119" spans="1:34" x14ac:dyDescent="0.3">
      <c r="A119" t="s">
        <v>363</v>
      </c>
      <c r="B119" s="17">
        <v>45996</v>
      </c>
      <c r="C119" s="6" t="s">
        <v>238</v>
      </c>
      <c r="D119" s="6">
        <v>4</v>
      </c>
      <c r="E119">
        <v>1</v>
      </c>
      <c r="F119">
        <v>1</v>
      </c>
      <c r="G119" s="1"/>
      <c r="H119" s="4">
        <v>0.47569444444444442</v>
      </c>
      <c r="I119" s="4">
        <v>0.4826388888888889</v>
      </c>
      <c r="J119" s="5">
        <v>29.6</v>
      </c>
      <c r="K119" s="5">
        <v>30.3</v>
      </c>
      <c r="L119" t="s">
        <v>27</v>
      </c>
      <c r="M119" t="s">
        <v>27</v>
      </c>
      <c r="N119" t="s">
        <v>68</v>
      </c>
      <c r="O119" s="2" t="s">
        <v>92</v>
      </c>
      <c r="P119" t="s">
        <v>28</v>
      </c>
      <c r="Q119" t="s">
        <v>28</v>
      </c>
      <c r="R119" s="1"/>
      <c r="S119">
        <v>0</v>
      </c>
      <c r="T119">
        <v>0</v>
      </c>
      <c r="U119">
        <v>0</v>
      </c>
      <c r="V119">
        <v>1</v>
      </c>
      <c r="W119">
        <v>0</v>
      </c>
      <c r="X119">
        <v>0</v>
      </c>
      <c r="Y119">
        <v>0</v>
      </c>
      <c r="Z119">
        <v>1</v>
      </c>
      <c r="AA119">
        <v>0</v>
      </c>
      <c r="AB119">
        <v>1</v>
      </c>
      <c r="AD119">
        <v>2</v>
      </c>
      <c r="AE119">
        <v>0</v>
      </c>
    </row>
    <row r="120" spans="1:34" x14ac:dyDescent="0.3">
      <c r="A120" t="s">
        <v>364</v>
      </c>
      <c r="B120" s="17">
        <v>45996</v>
      </c>
      <c r="C120" s="6" t="s">
        <v>238</v>
      </c>
      <c r="D120" s="6">
        <v>4</v>
      </c>
      <c r="E120">
        <v>1</v>
      </c>
      <c r="F120">
        <v>1</v>
      </c>
      <c r="G120" s="1"/>
      <c r="H120" s="4">
        <v>0.47569444444444442</v>
      </c>
      <c r="I120" s="4">
        <v>0.4826388888888889</v>
      </c>
      <c r="J120" s="5">
        <v>29.6</v>
      </c>
      <c r="K120" s="5">
        <v>30.3</v>
      </c>
      <c r="L120" t="s">
        <v>27</v>
      </c>
      <c r="M120" t="s">
        <v>27</v>
      </c>
      <c r="N120" t="s">
        <v>68</v>
      </c>
      <c r="O120" s="2" t="s">
        <v>92</v>
      </c>
      <c r="P120" t="s">
        <v>28</v>
      </c>
      <c r="Q120" t="s">
        <v>28</v>
      </c>
      <c r="R120" s="1"/>
      <c r="S120">
        <v>1</v>
      </c>
      <c r="T120">
        <v>0</v>
      </c>
      <c r="U120">
        <v>0</v>
      </c>
      <c r="V120">
        <v>1</v>
      </c>
      <c r="W120">
        <v>0</v>
      </c>
      <c r="X120">
        <v>0</v>
      </c>
      <c r="Y120">
        <v>0</v>
      </c>
      <c r="Z120">
        <v>1</v>
      </c>
      <c r="AA120">
        <v>0</v>
      </c>
      <c r="AB120">
        <v>1</v>
      </c>
    </row>
    <row r="121" spans="1:34" x14ac:dyDescent="0.3">
      <c r="A121" t="s">
        <v>365</v>
      </c>
      <c r="B121" s="17">
        <v>45986</v>
      </c>
      <c r="C121" s="6" t="s">
        <v>236</v>
      </c>
      <c r="D121" s="6" t="s">
        <v>241</v>
      </c>
      <c r="E121">
        <v>3</v>
      </c>
      <c r="F121">
        <v>1</v>
      </c>
      <c r="G121" s="1"/>
      <c r="H121" s="4">
        <v>0.47638888888888886</v>
      </c>
      <c r="I121" s="4">
        <v>0.48402777777777778</v>
      </c>
      <c r="J121" s="5">
        <v>29.8</v>
      </c>
      <c r="K121" s="5">
        <v>30.1</v>
      </c>
      <c r="L121" t="s">
        <v>56</v>
      </c>
      <c r="M121" t="s">
        <v>50</v>
      </c>
      <c r="N121" t="s">
        <v>35</v>
      </c>
      <c r="O121" s="2" t="s">
        <v>92</v>
      </c>
      <c r="P121" t="s">
        <v>28</v>
      </c>
      <c r="Q121" t="s">
        <v>28</v>
      </c>
      <c r="R121" s="1"/>
      <c r="S121">
        <v>0</v>
      </c>
      <c r="T121">
        <v>0</v>
      </c>
      <c r="U121">
        <v>0</v>
      </c>
      <c r="V121">
        <v>1</v>
      </c>
      <c r="W121">
        <v>0</v>
      </c>
      <c r="X121">
        <v>0</v>
      </c>
      <c r="Y121">
        <v>0</v>
      </c>
      <c r="Z121">
        <v>1</v>
      </c>
      <c r="AA121">
        <v>1</v>
      </c>
      <c r="AB121">
        <v>0</v>
      </c>
      <c r="AC121" t="s">
        <v>211</v>
      </c>
      <c r="AD121">
        <v>9</v>
      </c>
      <c r="AE121">
        <v>0</v>
      </c>
      <c r="AF121" s="9" t="s">
        <v>229</v>
      </c>
      <c r="AG121" t="s">
        <v>111</v>
      </c>
      <c r="AH121" t="s">
        <v>232</v>
      </c>
    </row>
    <row r="122" spans="1:34" x14ac:dyDescent="0.3">
      <c r="A122" t="s">
        <v>366</v>
      </c>
      <c r="B122" s="17">
        <v>46001</v>
      </c>
      <c r="C122" s="6" t="s">
        <v>238</v>
      </c>
      <c r="D122" s="6">
        <v>4</v>
      </c>
      <c r="E122">
        <v>1</v>
      </c>
      <c r="F122">
        <v>2</v>
      </c>
      <c r="G122" s="1"/>
      <c r="H122" s="4">
        <v>0.47638888888888886</v>
      </c>
      <c r="I122" s="4">
        <v>0.48333333333333334</v>
      </c>
      <c r="J122" s="5">
        <v>22.1</v>
      </c>
      <c r="K122" s="5">
        <v>22.8</v>
      </c>
      <c r="L122" t="s">
        <v>50</v>
      </c>
      <c r="M122" t="s">
        <v>50</v>
      </c>
      <c r="N122" t="s">
        <v>26</v>
      </c>
      <c r="O122" t="s">
        <v>26</v>
      </c>
      <c r="P122" t="s">
        <v>28</v>
      </c>
      <c r="Q122" t="s">
        <v>28</v>
      </c>
      <c r="R122" s="1"/>
      <c r="S122">
        <v>1</v>
      </c>
      <c r="T122">
        <v>0</v>
      </c>
      <c r="U122">
        <v>0</v>
      </c>
      <c r="V122">
        <v>1</v>
      </c>
      <c r="W122">
        <v>1</v>
      </c>
      <c r="X122">
        <v>1</v>
      </c>
      <c r="Y122">
        <v>0</v>
      </c>
      <c r="Z122">
        <v>1</v>
      </c>
      <c r="AA122">
        <v>1</v>
      </c>
      <c r="AB122">
        <v>1</v>
      </c>
      <c r="AD122">
        <v>0</v>
      </c>
      <c r="AE122">
        <v>0</v>
      </c>
      <c r="AF122" t="s">
        <v>53</v>
      </c>
    </row>
    <row r="123" spans="1:34" x14ac:dyDescent="0.3">
      <c r="A123" t="s">
        <v>367</v>
      </c>
      <c r="B123" s="17">
        <v>46001</v>
      </c>
      <c r="C123" s="6" t="s">
        <v>238</v>
      </c>
      <c r="D123" s="6">
        <v>4</v>
      </c>
      <c r="E123">
        <v>2</v>
      </c>
      <c r="F123">
        <v>1</v>
      </c>
      <c r="G123" s="1"/>
      <c r="H123" s="4">
        <v>0.47708333333333336</v>
      </c>
      <c r="I123" s="4">
        <v>0.48402777777777778</v>
      </c>
      <c r="J123" s="5">
        <v>22.1</v>
      </c>
      <c r="K123" s="5">
        <v>22.8</v>
      </c>
      <c r="L123" t="s">
        <v>50</v>
      </c>
      <c r="M123" t="s">
        <v>50</v>
      </c>
      <c r="N123" t="s">
        <v>26</v>
      </c>
      <c r="O123" t="s">
        <v>26</v>
      </c>
      <c r="P123" t="s">
        <v>28</v>
      </c>
      <c r="Q123" t="s">
        <v>28</v>
      </c>
      <c r="R123" s="1"/>
      <c r="S123">
        <v>1</v>
      </c>
      <c r="T123">
        <v>0</v>
      </c>
      <c r="U123">
        <v>0</v>
      </c>
      <c r="V123">
        <v>1</v>
      </c>
      <c r="W123">
        <v>1</v>
      </c>
      <c r="X123">
        <v>0</v>
      </c>
      <c r="Y123">
        <v>0</v>
      </c>
      <c r="Z123">
        <v>1</v>
      </c>
      <c r="AA123">
        <v>1</v>
      </c>
      <c r="AB123">
        <v>1</v>
      </c>
      <c r="AD123">
        <v>1</v>
      </c>
      <c r="AE123">
        <v>0</v>
      </c>
      <c r="AF123" t="s">
        <v>179</v>
      </c>
    </row>
    <row r="124" spans="1:34" x14ac:dyDescent="0.3">
      <c r="A124" t="s">
        <v>368</v>
      </c>
      <c r="B124" s="17">
        <v>46009</v>
      </c>
      <c r="C124" s="6" t="s">
        <v>236</v>
      </c>
      <c r="D124" s="6">
        <v>5</v>
      </c>
      <c r="E124">
        <v>1</v>
      </c>
      <c r="F124">
        <v>1</v>
      </c>
      <c r="G124" s="1"/>
      <c r="H124" s="4">
        <v>0.47986111111111113</v>
      </c>
      <c r="I124" s="4">
        <v>0.48749999999999999</v>
      </c>
      <c r="J124" s="5">
        <v>32</v>
      </c>
      <c r="K124" s="5">
        <v>32.200000000000003</v>
      </c>
      <c r="L124" t="s">
        <v>30</v>
      </c>
      <c r="M124" t="s">
        <v>30</v>
      </c>
      <c r="N124" t="s">
        <v>35</v>
      </c>
      <c r="O124" t="s">
        <v>35</v>
      </c>
      <c r="P124" t="s">
        <v>28</v>
      </c>
      <c r="Q124" t="s">
        <v>28</v>
      </c>
      <c r="R124" s="1"/>
      <c r="S124">
        <v>1</v>
      </c>
      <c r="T124">
        <v>0</v>
      </c>
      <c r="U124">
        <v>0</v>
      </c>
      <c r="V124">
        <v>1</v>
      </c>
      <c r="W124">
        <v>0</v>
      </c>
      <c r="X124">
        <v>0</v>
      </c>
      <c r="Y124">
        <v>0</v>
      </c>
      <c r="Z124">
        <v>1</v>
      </c>
      <c r="AA124">
        <v>0</v>
      </c>
      <c r="AB124">
        <v>0</v>
      </c>
      <c r="AD124">
        <v>1</v>
      </c>
      <c r="AE124">
        <v>0</v>
      </c>
      <c r="AF124" t="s">
        <v>186</v>
      </c>
    </row>
    <row r="125" spans="1:34" x14ac:dyDescent="0.3">
      <c r="A125" t="s">
        <v>369</v>
      </c>
      <c r="B125" s="17">
        <v>46009</v>
      </c>
      <c r="C125" s="6" t="s">
        <v>236</v>
      </c>
      <c r="D125" s="6">
        <v>5</v>
      </c>
      <c r="E125">
        <v>1</v>
      </c>
      <c r="F125">
        <v>1</v>
      </c>
      <c r="G125" s="1"/>
      <c r="H125" s="4">
        <v>0.47986111111111113</v>
      </c>
      <c r="I125" s="4">
        <v>0.48680555555555555</v>
      </c>
      <c r="J125" s="5">
        <v>32</v>
      </c>
      <c r="K125" s="5">
        <v>32.200000000000003</v>
      </c>
      <c r="L125" t="s">
        <v>30</v>
      </c>
      <c r="M125" t="s">
        <v>30</v>
      </c>
      <c r="N125" t="s">
        <v>35</v>
      </c>
      <c r="O125" t="s">
        <v>35</v>
      </c>
      <c r="P125" t="s">
        <v>28</v>
      </c>
      <c r="Q125" t="s">
        <v>28</v>
      </c>
      <c r="R125" s="1"/>
      <c r="S125">
        <v>1</v>
      </c>
      <c r="T125">
        <v>0</v>
      </c>
      <c r="U125">
        <v>0</v>
      </c>
      <c r="V125">
        <v>1</v>
      </c>
      <c r="W125">
        <v>0</v>
      </c>
      <c r="X125">
        <v>0</v>
      </c>
      <c r="Y125">
        <v>0</v>
      </c>
      <c r="Z125">
        <v>1</v>
      </c>
      <c r="AA125">
        <v>0</v>
      </c>
      <c r="AB125">
        <v>0</v>
      </c>
      <c r="AC125" t="s">
        <v>59</v>
      </c>
      <c r="AD125">
        <v>0</v>
      </c>
      <c r="AE125">
        <v>0</v>
      </c>
      <c r="AF125" t="s">
        <v>173</v>
      </c>
    </row>
    <row r="126" spans="1:34" x14ac:dyDescent="0.3">
      <c r="A126" t="s">
        <v>370</v>
      </c>
      <c r="B126" s="17">
        <v>45974</v>
      </c>
      <c r="C126" s="6" t="s">
        <v>236</v>
      </c>
      <c r="D126" s="6">
        <v>1</v>
      </c>
      <c r="E126">
        <v>3</v>
      </c>
      <c r="F126">
        <v>1</v>
      </c>
      <c r="G126" s="1"/>
      <c r="H126" s="4">
        <v>0.48055555555555557</v>
      </c>
      <c r="I126" s="4">
        <v>0.48749999999999999</v>
      </c>
      <c r="J126" s="5">
        <v>20.6</v>
      </c>
      <c r="K126" s="5">
        <v>21</v>
      </c>
      <c r="L126" t="s">
        <v>50</v>
      </c>
      <c r="M126" t="s">
        <v>32</v>
      </c>
      <c r="N126" t="s">
        <v>68</v>
      </c>
      <c r="O126" s="2" t="s">
        <v>92</v>
      </c>
      <c r="P126" t="s">
        <v>28</v>
      </c>
      <c r="Q126" t="s">
        <v>28</v>
      </c>
      <c r="R126" s="1"/>
      <c r="S126">
        <v>0</v>
      </c>
      <c r="T126">
        <v>0</v>
      </c>
      <c r="U126">
        <v>1</v>
      </c>
      <c r="V126">
        <v>0</v>
      </c>
      <c r="W126">
        <v>0</v>
      </c>
      <c r="X126">
        <v>0</v>
      </c>
      <c r="Y126">
        <v>0</v>
      </c>
      <c r="Z126">
        <v>1</v>
      </c>
      <c r="AA126">
        <v>1</v>
      </c>
      <c r="AB126">
        <v>0</v>
      </c>
      <c r="AC126" t="s">
        <v>196</v>
      </c>
      <c r="AD126">
        <v>0</v>
      </c>
      <c r="AE126">
        <v>0</v>
      </c>
    </row>
    <row r="127" spans="1:34" x14ac:dyDescent="0.3">
      <c r="A127" t="s">
        <v>371</v>
      </c>
      <c r="B127" s="17">
        <v>45974</v>
      </c>
      <c r="C127" s="6" t="s">
        <v>236</v>
      </c>
      <c r="D127" s="6">
        <v>1</v>
      </c>
      <c r="E127">
        <v>3</v>
      </c>
      <c r="F127">
        <v>1</v>
      </c>
      <c r="G127" s="1"/>
      <c r="H127" s="4">
        <v>0.48055555555555557</v>
      </c>
      <c r="I127" s="4">
        <v>0.48749999999999999</v>
      </c>
      <c r="J127" s="5">
        <v>20.6</v>
      </c>
      <c r="K127" s="5">
        <v>21</v>
      </c>
      <c r="L127" t="s">
        <v>32</v>
      </c>
      <c r="M127" t="s">
        <v>32</v>
      </c>
      <c r="N127" t="s">
        <v>68</v>
      </c>
      <c r="O127" s="2" t="s">
        <v>92</v>
      </c>
      <c r="P127" t="s">
        <v>28</v>
      </c>
      <c r="Q127" t="s">
        <v>28</v>
      </c>
      <c r="R127" s="1"/>
      <c r="S127">
        <v>0</v>
      </c>
      <c r="T127">
        <v>0</v>
      </c>
      <c r="U127">
        <v>1</v>
      </c>
      <c r="V127">
        <v>0</v>
      </c>
      <c r="W127">
        <v>0</v>
      </c>
      <c r="X127">
        <v>0</v>
      </c>
      <c r="Y127">
        <v>0</v>
      </c>
      <c r="Z127">
        <v>1</v>
      </c>
      <c r="AA127">
        <v>1</v>
      </c>
      <c r="AB127">
        <v>0</v>
      </c>
      <c r="AC127" t="s">
        <v>197</v>
      </c>
      <c r="AD127">
        <v>0</v>
      </c>
      <c r="AE127">
        <v>0</v>
      </c>
    </row>
    <row r="128" spans="1:34" x14ac:dyDescent="0.3">
      <c r="A128" t="s">
        <v>372</v>
      </c>
      <c r="B128" s="17">
        <v>46005</v>
      </c>
      <c r="C128" s="6" t="s">
        <v>236</v>
      </c>
      <c r="D128" s="6" t="s">
        <v>242</v>
      </c>
      <c r="E128">
        <v>1</v>
      </c>
      <c r="F128">
        <v>2</v>
      </c>
      <c r="G128" s="1"/>
      <c r="H128" s="4">
        <v>0.48055555555555557</v>
      </c>
      <c r="I128" s="4">
        <v>0.48888888888888887</v>
      </c>
      <c r="J128" s="5">
        <v>21.5</v>
      </c>
      <c r="K128" s="5">
        <v>21.7</v>
      </c>
      <c r="L128" t="s">
        <v>25</v>
      </c>
      <c r="M128" t="s">
        <v>25</v>
      </c>
      <c r="N128" t="s">
        <v>26</v>
      </c>
      <c r="O128" t="s">
        <v>26</v>
      </c>
      <c r="P128" t="s">
        <v>28</v>
      </c>
      <c r="Q128" t="s">
        <v>28</v>
      </c>
      <c r="R128" s="1"/>
      <c r="S128">
        <v>0</v>
      </c>
      <c r="T128">
        <v>0</v>
      </c>
      <c r="U128">
        <v>1</v>
      </c>
      <c r="V128">
        <v>0</v>
      </c>
      <c r="W128">
        <v>1</v>
      </c>
      <c r="X128">
        <v>0</v>
      </c>
      <c r="Y128">
        <v>0</v>
      </c>
      <c r="Z128">
        <v>1</v>
      </c>
      <c r="AA128">
        <v>0</v>
      </c>
      <c r="AB128">
        <v>0</v>
      </c>
      <c r="AC128" t="s">
        <v>36</v>
      </c>
      <c r="AD128">
        <v>0</v>
      </c>
      <c r="AE128">
        <v>0</v>
      </c>
    </row>
    <row r="129" spans="1:32" x14ac:dyDescent="0.3">
      <c r="A129" t="s">
        <v>373</v>
      </c>
      <c r="B129" s="17">
        <v>45979</v>
      </c>
      <c r="C129" s="6" t="s">
        <v>237</v>
      </c>
      <c r="D129" s="6">
        <v>1</v>
      </c>
      <c r="E129">
        <v>1</v>
      </c>
      <c r="F129">
        <v>1</v>
      </c>
      <c r="G129" s="1"/>
      <c r="H129" s="4">
        <v>0.48194444444444445</v>
      </c>
      <c r="I129" s="4">
        <v>0.48888888888888887</v>
      </c>
      <c r="J129" s="5">
        <v>19.899999999999999</v>
      </c>
      <c r="K129" s="5">
        <v>20.6</v>
      </c>
      <c r="L129" t="s">
        <v>50</v>
      </c>
      <c r="M129" t="s">
        <v>50</v>
      </c>
      <c r="N129" t="s">
        <v>35</v>
      </c>
      <c r="O129" s="2" t="s">
        <v>92</v>
      </c>
      <c r="P129" t="s">
        <v>28</v>
      </c>
      <c r="Q129" t="s">
        <v>28</v>
      </c>
      <c r="R129" s="1"/>
      <c r="S129">
        <v>0</v>
      </c>
      <c r="T129">
        <v>0</v>
      </c>
      <c r="U129">
        <v>1</v>
      </c>
      <c r="V129">
        <v>1</v>
      </c>
      <c r="W129">
        <v>0</v>
      </c>
      <c r="X129">
        <v>0</v>
      </c>
      <c r="Y129">
        <v>0</v>
      </c>
      <c r="Z129">
        <v>1</v>
      </c>
      <c r="AA129">
        <v>1</v>
      </c>
      <c r="AB129">
        <v>0</v>
      </c>
      <c r="AC129" t="s">
        <v>204</v>
      </c>
      <c r="AD129">
        <v>0</v>
      </c>
      <c r="AE129">
        <v>0</v>
      </c>
    </row>
    <row r="130" spans="1:32" x14ac:dyDescent="0.3">
      <c r="A130" t="s">
        <v>374</v>
      </c>
      <c r="B130" s="17">
        <v>45979</v>
      </c>
      <c r="C130" s="6" t="s">
        <v>237</v>
      </c>
      <c r="D130" s="6">
        <v>1</v>
      </c>
      <c r="E130">
        <v>1</v>
      </c>
      <c r="F130">
        <v>1</v>
      </c>
      <c r="G130" s="1"/>
      <c r="H130" s="4">
        <v>0.48194444444444445</v>
      </c>
      <c r="I130" s="4">
        <v>0.48888888888888887</v>
      </c>
      <c r="J130" s="5">
        <v>19.899999999999999</v>
      </c>
      <c r="K130" s="5">
        <v>20.6</v>
      </c>
      <c r="L130" t="s">
        <v>50</v>
      </c>
      <c r="M130" t="s">
        <v>50</v>
      </c>
      <c r="N130" t="s">
        <v>31</v>
      </c>
      <c r="O130" s="2" t="s">
        <v>26</v>
      </c>
      <c r="P130" t="s">
        <v>28</v>
      </c>
      <c r="Q130" t="s">
        <v>28</v>
      </c>
      <c r="R130" s="1"/>
      <c r="S130">
        <v>1</v>
      </c>
      <c r="T130">
        <v>0</v>
      </c>
      <c r="U130">
        <v>1</v>
      </c>
      <c r="V130">
        <v>1</v>
      </c>
      <c r="W130">
        <v>0</v>
      </c>
      <c r="X130">
        <v>1</v>
      </c>
      <c r="Y130">
        <v>0</v>
      </c>
      <c r="Z130">
        <v>1</v>
      </c>
      <c r="AA130">
        <v>0</v>
      </c>
      <c r="AB130">
        <v>1</v>
      </c>
      <c r="AC130" t="s">
        <v>205</v>
      </c>
      <c r="AD130">
        <v>0</v>
      </c>
      <c r="AE130">
        <v>0</v>
      </c>
    </row>
    <row r="131" spans="1:32" x14ac:dyDescent="0.3">
      <c r="A131" t="s">
        <v>375</v>
      </c>
      <c r="B131" s="17">
        <v>46002</v>
      </c>
      <c r="C131" s="6" t="s">
        <v>237</v>
      </c>
      <c r="D131" s="6">
        <v>3</v>
      </c>
      <c r="E131">
        <v>1</v>
      </c>
      <c r="F131">
        <v>1</v>
      </c>
      <c r="G131" s="1"/>
      <c r="H131" s="4">
        <v>0.48194444444444445</v>
      </c>
      <c r="I131" s="4">
        <v>0.48888888888888887</v>
      </c>
      <c r="J131" s="5">
        <v>20.399999999999999</v>
      </c>
      <c r="K131" s="5">
        <v>20.7</v>
      </c>
      <c r="L131" t="s">
        <v>25</v>
      </c>
      <c r="M131" t="s">
        <v>25</v>
      </c>
      <c r="N131" t="s">
        <v>35</v>
      </c>
      <c r="O131" t="s">
        <v>35</v>
      </c>
      <c r="P131" t="s">
        <v>28</v>
      </c>
      <c r="Q131" t="s">
        <v>28</v>
      </c>
      <c r="R131" s="1"/>
      <c r="S131">
        <v>1</v>
      </c>
      <c r="T131">
        <v>0</v>
      </c>
      <c r="U131">
        <v>0</v>
      </c>
      <c r="V131">
        <v>1</v>
      </c>
      <c r="W131">
        <v>1</v>
      </c>
      <c r="X131">
        <v>0</v>
      </c>
      <c r="Y131">
        <v>0</v>
      </c>
      <c r="Z131">
        <v>0</v>
      </c>
      <c r="AA131">
        <v>0</v>
      </c>
      <c r="AB131">
        <v>0</v>
      </c>
      <c r="AC131" t="s">
        <v>38</v>
      </c>
      <c r="AD131">
        <v>0</v>
      </c>
      <c r="AE131">
        <v>0</v>
      </c>
      <c r="AF131" t="s">
        <v>40</v>
      </c>
    </row>
    <row r="132" spans="1:32" x14ac:dyDescent="0.3">
      <c r="A132" t="s">
        <v>376</v>
      </c>
      <c r="B132" s="17">
        <v>45999</v>
      </c>
      <c r="C132" s="6" t="s">
        <v>236</v>
      </c>
      <c r="D132" s="6">
        <v>1</v>
      </c>
      <c r="E132">
        <v>1</v>
      </c>
      <c r="F132">
        <v>2</v>
      </c>
      <c r="G132" s="3"/>
      <c r="H132" s="4">
        <v>0.4826388888888889</v>
      </c>
      <c r="I132" s="4">
        <v>0.48958333333333331</v>
      </c>
      <c r="J132" s="5">
        <v>21.4</v>
      </c>
      <c r="K132" s="5">
        <v>22.7</v>
      </c>
      <c r="L132" t="s">
        <v>30</v>
      </c>
      <c r="M132" t="s">
        <v>30</v>
      </c>
      <c r="N132" t="s">
        <v>35</v>
      </c>
      <c r="O132" t="s">
        <v>26</v>
      </c>
      <c r="P132" t="s">
        <v>28</v>
      </c>
      <c r="Q132" t="s">
        <v>28</v>
      </c>
      <c r="R132" s="1"/>
      <c r="S132">
        <v>0</v>
      </c>
      <c r="T132">
        <v>0</v>
      </c>
      <c r="U132">
        <v>0</v>
      </c>
      <c r="V132">
        <v>1</v>
      </c>
      <c r="W132">
        <v>0</v>
      </c>
      <c r="X132">
        <v>0</v>
      </c>
      <c r="Y132">
        <v>0</v>
      </c>
      <c r="Z132">
        <v>1</v>
      </c>
      <c r="AA132">
        <v>0</v>
      </c>
      <c r="AB132">
        <v>1</v>
      </c>
      <c r="AC132" t="s">
        <v>63</v>
      </c>
      <c r="AD132">
        <v>0</v>
      </c>
      <c r="AE132">
        <v>0</v>
      </c>
    </row>
    <row r="133" spans="1:32" x14ac:dyDescent="0.3">
      <c r="A133" t="s">
        <v>377</v>
      </c>
      <c r="B133" s="17">
        <v>45999</v>
      </c>
      <c r="C133" s="6" t="s">
        <v>236</v>
      </c>
      <c r="D133" s="6">
        <v>2</v>
      </c>
      <c r="E133">
        <v>1</v>
      </c>
      <c r="F133">
        <v>2</v>
      </c>
      <c r="G133" s="1"/>
      <c r="H133" s="4">
        <v>0.4826388888888889</v>
      </c>
      <c r="I133" s="4">
        <v>0.48958333333333331</v>
      </c>
      <c r="J133" s="5">
        <v>21.4</v>
      </c>
      <c r="K133" s="5">
        <v>22.7</v>
      </c>
      <c r="L133" t="s">
        <v>30</v>
      </c>
      <c r="M133" t="s">
        <v>30</v>
      </c>
      <c r="N133" t="s">
        <v>35</v>
      </c>
      <c r="O133" t="s">
        <v>26</v>
      </c>
      <c r="P133" t="s">
        <v>28</v>
      </c>
      <c r="Q133" t="s">
        <v>28</v>
      </c>
      <c r="R133" s="1"/>
      <c r="S133">
        <v>1</v>
      </c>
      <c r="T133">
        <v>0</v>
      </c>
      <c r="U133">
        <v>0</v>
      </c>
      <c r="V133">
        <v>1</v>
      </c>
      <c r="W133">
        <v>0</v>
      </c>
      <c r="X133">
        <v>1</v>
      </c>
      <c r="Y133">
        <v>1</v>
      </c>
      <c r="Z133">
        <v>1</v>
      </c>
      <c r="AA133">
        <v>1</v>
      </c>
      <c r="AB133">
        <v>1</v>
      </c>
      <c r="AC133" t="s">
        <v>34</v>
      </c>
      <c r="AD133">
        <v>0</v>
      </c>
      <c r="AE133">
        <v>0</v>
      </c>
    </row>
    <row r="134" spans="1:32" x14ac:dyDescent="0.3">
      <c r="A134" t="s">
        <v>378</v>
      </c>
      <c r="B134" s="17">
        <v>45975</v>
      </c>
      <c r="C134" s="6" t="s">
        <v>236</v>
      </c>
      <c r="D134" s="6" t="s">
        <v>242</v>
      </c>
      <c r="E134">
        <v>1</v>
      </c>
      <c r="F134">
        <v>1</v>
      </c>
      <c r="G134" s="1"/>
      <c r="H134" s="4">
        <v>0.48333333333333334</v>
      </c>
      <c r="I134" s="4">
        <v>0.4909722222222222</v>
      </c>
      <c r="J134" s="5">
        <v>23.6</v>
      </c>
      <c r="K134" s="5">
        <v>24.1</v>
      </c>
      <c r="L134" t="s">
        <v>27</v>
      </c>
      <c r="M134" t="s">
        <v>27</v>
      </c>
      <c r="N134" t="s">
        <v>35</v>
      </c>
      <c r="O134" s="2" t="s">
        <v>92</v>
      </c>
      <c r="P134" t="s">
        <v>28</v>
      </c>
      <c r="Q134" t="s">
        <v>28</v>
      </c>
      <c r="R134" s="1"/>
      <c r="S134">
        <v>0</v>
      </c>
      <c r="T134">
        <v>0</v>
      </c>
      <c r="U134">
        <v>1</v>
      </c>
      <c r="V134">
        <v>1</v>
      </c>
      <c r="W134">
        <v>0</v>
      </c>
      <c r="X134">
        <v>0</v>
      </c>
      <c r="Y134">
        <v>0</v>
      </c>
      <c r="Z134">
        <v>0</v>
      </c>
      <c r="AA134">
        <v>1</v>
      </c>
      <c r="AB134">
        <v>1</v>
      </c>
      <c r="AC134" t="s">
        <v>168</v>
      </c>
      <c r="AD134">
        <v>1</v>
      </c>
      <c r="AE134">
        <v>0</v>
      </c>
      <c r="AF134" t="s">
        <v>167</v>
      </c>
    </row>
    <row r="135" spans="1:32" x14ac:dyDescent="0.3">
      <c r="A135" t="s">
        <v>379</v>
      </c>
      <c r="B135" s="17">
        <v>45975</v>
      </c>
      <c r="C135" s="6" t="s">
        <v>236</v>
      </c>
      <c r="D135" s="6" t="s">
        <v>242</v>
      </c>
      <c r="E135">
        <v>1</v>
      </c>
      <c r="F135">
        <v>1</v>
      </c>
      <c r="G135" s="1"/>
      <c r="H135" s="4">
        <v>0.48333333333333334</v>
      </c>
      <c r="I135" s="4">
        <v>0.4909722222222222</v>
      </c>
      <c r="J135" s="5">
        <v>23.6</v>
      </c>
      <c r="K135" s="5">
        <v>24.1</v>
      </c>
      <c r="L135" t="s">
        <v>27</v>
      </c>
      <c r="M135" t="s">
        <v>27</v>
      </c>
      <c r="N135" t="s">
        <v>35</v>
      </c>
      <c r="O135" s="2" t="s">
        <v>92</v>
      </c>
      <c r="P135" t="s">
        <v>28</v>
      </c>
      <c r="Q135" t="s">
        <v>28</v>
      </c>
      <c r="R135" s="1"/>
      <c r="S135">
        <v>0</v>
      </c>
      <c r="T135">
        <v>0</v>
      </c>
      <c r="U135">
        <v>0</v>
      </c>
      <c r="V135">
        <v>0</v>
      </c>
      <c r="W135">
        <v>0</v>
      </c>
      <c r="X135">
        <v>0</v>
      </c>
      <c r="Y135">
        <v>0</v>
      </c>
      <c r="Z135">
        <v>0</v>
      </c>
      <c r="AA135">
        <v>1</v>
      </c>
      <c r="AB135">
        <v>0</v>
      </c>
      <c r="AD135">
        <v>0</v>
      </c>
      <c r="AE135">
        <v>0</v>
      </c>
    </row>
    <row r="136" spans="1:32" x14ac:dyDescent="0.3">
      <c r="A136" t="s">
        <v>380</v>
      </c>
      <c r="B136" s="17">
        <v>45996</v>
      </c>
      <c r="C136" s="6" t="s">
        <v>238</v>
      </c>
      <c r="D136" s="6">
        <v>4</v>
      </c>
      <c r="E136">
        <v>1</v>
      </c>
      <c r="F136">
        <v>2</v>
      </c>
      <c r="G136" s="1"/>
      <c r="H136" s="4">
        <v>0.48402777777777778</v>
      </c>
      <c r="I136" s="4">
        <v>0.4909722222222222</v>
      </c>
      <c r="J136" s="5">
        <v>30.3</v>
      </c>
      <c r="K136" s="5">
        <v>30.1</v>
      </c>
      <c r="L136" t="s">
        <v>27</v>
      </c>
      <c r="M136" t="s">
        <v>30</v>
      </c>
      <c r="N136" t="s">
        <v>68</v>
      </c>
      <c r="O136" s="2" t="s">
        <v>92</v>
      </c>
      <c r="P136" t="s">
        <v>28</v>
      </c>
      <c r="Q136" t="s">
        <v>28</v>
      </c>
      <c r="R136" s="1"/>
      <c r="S136">
        <v>1</v>
      </c>
      <c r="T136">
        <v>0</v>
      </c>
      <c r="U136">
        <v>0</v>
      </c>
      <c r="V136">
        <v>1</v>
      </c>
      <c r="W136">
        <v>1</v>
      </c>
      <c r="X136">
        <v>0</v>
      </c>
      <c r="Y136">
        <v>0</v>
      </c>
      <c r="Z136">
        <v>1</v>
      </c>
      <c r="AA136">
        <v>0</v>
      </c>
      <c r="AB136">
        <v>0</v>
      </c>
      <c r="AD136">
        <v>8</v>
      </c>
      <c r="AE136">
        <v>0</v>
      </c>
      <c r="AF136" t="s">
        <v>71</v>
      </c>
    </row>
    <row r="137" spans="1:32" x14ac:dyDescent="0.3">
      <c r="A137" t="s">
        <v>381</v>
      </c>
      <c r="B137" s="17">
        <v>45996</v>
      </c>
      <c r="C137" s="6" t="s">
        <v>238</v>
      </c>
      <c r="D137" s="6">
        <v>4</v>
      </c>
      <c r="E137">
        <v>1</v>
      </c>
      <c r="F137">
        <v>2</v>
      </c>
      <c r="G137" s="1"/>
      <c r="H137" s="4">
        <v>0.48472222222222222</v>
      </c>
      <c r="I137" s="4">
        <v>0.49166666666666664</v>
      </c>
      <c r="J137" s="5">
        <v>30.3</v>
      </c>
      <c r="K137" s="5">
        <v>30.1</v>
      </c>
      <c r="L137" t="s">
        <v>27</v>
      </c>
      <c r="M137" t="s">
        <v>30</v>
      </c>
      <c r="N137" t="s">
        <v>68</v>
      </c>
      <c r="O137" s="2" t="s">
        <v>92</v>
      </c>
      <c r="P137" t="s">
        <v>28</v>
      </c>
      <c r="Q137" t="s">
        <v>28</v>
      </c>
      <c r="R137" s="1"/>
      <c r="S137">
        <v>1</v>
      </c>
      <c r="T137">
        <v>1</v>
      </c>
      <c r="U137">
        <v>1</v>
      </c>
      <c r="V137">
        <v>1</v>
      </c>
      <c r="W137">
        <v>1</v>
      </c>
      <c r="X137">
        <v>0</v>
      </c>
      <c r="Y137">
        <v>0</v>
      </c>
      <c r="Z137">
        <v>1</v>
      </c>
      <c r="AA137">
        <v>0</v>
      </c>
      <c r="AB137">
        <v>1</v>
      </c>
      <c r="AC137" t="s">
        <v>51</v>
      </c>
      <c r="AD137">
        <v>1</v>
      </c>
      <c r="AE137">
        <v>0</v>
      </c>
      <c r="AF137" t="s">
        <v>70</v>
      </c>
    </row>
    <row r="138" spans="1:32" x14ac:dyDescent="0.3">
      <c r="A138" t="s">
        <v>382</v>
      </c>
      <c r="B138" s="17">
        <v>45968</v>
      </c>
      <c r="C138" s="6" t="s">
        <v>236</v>
      </c>
      <c r="D138" s="6">
        <v>5</v>
      </c>
      <c r="E138">
        <v>2</v>
      </c>
      <c r="F138">
        <v>1</v>
      </c>
      <c r="G138" s="1"/>
      <c r="H138" s="4">
        <v>0.48680555555555555</v>
      </c>
      <c r="I138" s="4">
        <v>0.49583333333333335</v>
      </c>
      <c r="J138" s="5">
        <v>22.8</v>
      </c>
      <c r="K138" s="5">
        <v>23.9</v>
      </c>
      <c r="L138" t="s">
        <v>50</v>
      </c>
      <c r="M138" t="s">
        <v>50</v>
      </c>
      <c r="N138" t="s">
        <v>37</v>
      </c>
      <c r="O138" s="2" t="s">
        <v>92</v>
      </c>
      <c r="P138" t="s">
        <v>28</v>
      </c>
      <c r="Q138" t="s">
        <v>28</v>
      </c>
      <c r="R138" s="1"/>
      <c r="S138">
        <v>0</v>
      </c>
      <c r="T138">
        <v>0</v>
      </c>
      <c r="U138">
        <v>1</v>
      </c>
      <c r="V138">
        <v>0</v>
      </c>
      <c r="W138">
        <v>0</v>
      </c>
      <c r="X138">
        <v>0</v>
      </c>
      <c r="Y138">
        <v>0</v>
      </c>
      <c r="Z138">
        <v>0</v>
      </c>
      <c r="AA138">
        <v>0</v>
      </c>
      <c r="AB138">
        <v>0</v>
      </c>
      <c r="AC138" t="s">
        <v>202</v>
      </c>
      <c r="AD138">
        <v>0</v>
      </c>
      <c r="AE138">
        <v>0</v>
      </c>
    </row>
    <row r="139" spans="1:32" x14ac:dyDescent="0.3">
      <c r="A139" t="s">
        <v>383</v>
      </c>
      <c r="B139" s="17">
        <v>45968</v>
      </c>
      <c r="C139" s="6" t="s">
        <v>236</v>
      </c>
      <c r="D139" s="6">
        <v>5</v>
      </c>
      <c r="E139">
        <v>2</v>
      </c>
      <c r="F139">
        <v>1</v>
      </c>
      <c r="G139" s="1"/>
      <c r="H139" s="4">
        <v>0.48749999999999999</v>
      </c>
      <c r="I139" s="4">
        <v>0.49583333333333335</v>
      </c>
      <c r="J139" s="5">
        <v>22.8</v>
      </c>
      <c r="K139" s="5">
        <v>23.9</v>
      </c>
      <c r="L139" t="s">
        <v>50</v>
      </c>
      <c r="M139" t="s">
        <v>50</v>
      </c>
      <c r="N139" t="s">
        <v>37</v>
      </c>
      <c r="O139" s="2" t="s">
        <v>92</v>
      </c>
      <c r="P139" t="s">
        <v>28</v>
      </c>
      <c r="Q139" t="s">
        <v>28</v>
      </c>
      <c r="R139" s="1"/>
      <c r="S139">
        <v>1</v>
      </c>
      <c r="T139">
        <v>0</v>
      </c>
      <c r="U139">
        <v>1</v>
      </c>
      <c r="V139">
        <v>1</v>
      </c>
      <c r="W139">
        <v>0</v>
      </c>
      <c r="X139">
        <v>0</v>
      </c>
      <c r="Y139">
        <v>1</v>
      </c>
      <c r="Z139">
        <v>1</v>
      </c>
      <c r="AA139">
        <v>1</v>
      </c>
      <c r="AB139">
        <v>0</v>
      </c>
      <c r="AC139" t="s">
        <v>133</v>
      </c>
      <c r="AD139">
        <v>0</v>
      </c>
      <c r="AE139">
        <v>0</v>
      </c>
    </row>
    <row r="140" spans="1:32" x14ac:dyDescent="0.3">
      <c r="A140" t="s">
        <v>384</v>
      </c>
      <c r="B140" s="17">
        <v>45973</v>
      </c>
      <c r="C140" s="6" t="s">
        <v>236</v>
      </c>
      <c r="D140" s="6">
        <v>1</v>
      </c>
      <c r="E140">
        <v>2</v>
      </c>
      <c r="F140">
        <v>1</v>
      </c>
      <c r="G140" s="1"/>
      <c r="H140" s="4">
        <v>0.48749999999999999</v>
      </c>
      <c r="I140" s="4">
        <v>0.49444444444444446</v>
      </c>
      <c r="J140" s="5">
        <v>15</v>
      </c>
      <c r="K140" s="5">
        <v>14.7</v>
      </c>
      <c r="L140" t="s">
        <v>56</v>
      </c>
      <c r="M140" t="s">
        <v>56</v>
      </c>
      <c r="N140" t="s">
        <v>35</v>
      </c>
      <c r="O140" s="2" t="s">
        <v>92</v>
      </c>
      <c r="P140" t="s">
        <v>28</v>
      </c>
      <c r="Q140" t="s">
        <v>28</v>
      </c>
      <c r="R140" s="1"/>
      <c r="S140">
        <v>0</v>
      </c>
      <c r="T140">
        <v>0</v>
      </c>
      <c r="U140">
        <v>1</v>
      </c>
      <c r="V140">
        <v>1</v>
      </c>
      <c r="W140">
        <v>0</v>
      </c>
      <c r="X140">
        <v>0</v>
      </c>
      <c r="Y140">
        <v>0</v>
      </c>
      <c r="Z140">
        <v>1</v>
      </c>
      <c r="AA140">
        <v>1</v>
      </c>
      <c r="AB140">
        <v>1</v>
      </c>
      <c r="AC140" t="s">
        <v>193</v>
      </c>
      <c r="AD140">
        <v>0</v>
      </c>
      <c r="AE140">
        <v>0</v>
      </c>
    </row>
    <row r="141" spans="1:32" x14ac:dyDescent="0.3">
      <c r="A141" t="s">
        <v>385</v>
      </c>
      <c r="B141" s="17">
        <v>45973</v>
      </c>
      <c r="C141" s="6" t="s">
        <v>236</v>
      </c>
      <c r="D141" s="6">
        <v>1</v>
      </c>
      <c r="E141">
        <v>2</v>
      </c>
      <c r="F141">
        <v>1</v>
      </c>
      <c r="G141" s="1"/>
      <c r="H141" s="4">
        <v>0.48749999999999999</v>
      </c>
      <c r="I141" s="4">
        <v>0.49513888888888891</v>
      </c>
      <c r="J141" s="5">
        <v>15</v>
      </c>
      <c r="K141" s="5">
        <v>14.7</v>
      </c>
      <c r="L141" t="s">
        <v>56</v>
      </c>
      <c r="M141" t="s">
        <v>56</v>
      </c>
      <c r="N141" t="s">
        <v>35</v>
      </c>
      <c r="O141" s="2" t="s">
        <v>92</v>
      </c>
      <c r="P141" t="s">
        <v>28</v>
      </c>
      <c r="Q141" t="s">
        <v>28</v>
      </c>
      <c r="R141" s="1"/>
      <c r="S141">
        <v>1</v>
      </c>
      <c r="T141">
        <v>0</v>
      </c>
      <c r="U141">
        <v>1</v>
      </c>
      <c r="V141">
        <v>1</v>
      </c>
      <c r="W141">
        <v>0</v>
      </c>
      <c r="X141">
        <v>0</v>
      </c>
      <c r="Y141">
        <v>0</v>
      </c>
      <c r="Z141">
        <v>1</v>
      </c>
      <c r="AA141">
        <v>1</v>
      </c>
      <c r="AB141">
        <v>0</v>
      </c>
      <c r="AC141" t="s">
        <v>29</v>
      </c>
      <c r="AD141">
        <v>0</v>
      </c>
      <c r="AE141">
        <v>0</v>
      </c>
    </row>
    <row r="142" spans="1:32" x14ac:dyDescent="0.3">
      <c r="A142" t="s">
        <v>386</v>
      </c>
      <c r="B142" s="17">
        <v>46004</v>
      </c>
      <c r="C142" s="6" t="s">
        <v>238</v>
      </c>
      <c r="D142" s="6">
        <v>1</v>
      </c>
      <c r="E142">
        <v>1</v>
      </c>
      <c r="F142">
        <v>1</v>
      </c>
      <c r="G142" s="1"/>
      <c r="H142" s="4">
        <v>0.48819444444444443</v>
      </c>
      <c r="I142" s="4">
        <v>0.49513888888888891</v>
      </c>
      <c r="J142" s="5">
        <v>22.5</v>
      </c>
      <c r="K142" s="5">
        <v>22.4</v>
      </c>
      <c r="L142" t="s">
        <v>25</v>
      </c>
      <c r="M142" t="s">
        <v>25</v>
      </c>
      <c r="N142" t="s">
        <v>47</v>
      </c>
      <c r="O142" t="s">
        <v>37</v>
      </c>
      <c r="P142" t="s">
        <v>28</v>
      </c>
      <c r="Q142" t="s">
        <v>28</v>
      </c>
      <c r="R142" s="1"/>
      <c r="S142">
        <v>0</v>
      </c>
      <c r="T142">
        <v>0</v>
      </c>
      <c r="U142">
        <v>0</v>
      </c>
      <c r="V142">
        <v>0</v>
      </c>
      <c r="W142">
        <v>0</v>
      </c>
      <c r="X142">
        <v>0</v>
      </c>
      <c r="Y142">
        <v>0</v>
      </c>
      <c r="Z142">
        <v>1</v>
      </c>
      <c r="AA142">
        <v>0</v>
      </c>
      <c r="AB142">
        <v>0</v>
      </c>
      <c r="AD142">
        <v>0</v>
      </c>
      <c r="AE142">
        <v>0</v>
      </c>
      <c r="AF142" t="s">
        <v>48</v>
      </c>
    </row>
    <row r="143" spans="1:32" x14ac:dyDescent="0.3">
      <c r="A143" t="s">
        <v>387</v>
      </c>
      <c r="B143" s="17">
        <v>45979</v>
      </c>
      <c r="C143" s="6" t="s">
        <v>237</v>
      </c>
      <c r="D143" s="6">
        <v>1</v>
      </c>
      <c r="E143">
        <v>1</v>
      </c>
      <c r="F143">
        <v>2</v>
      </c>
      <c r="G143" s="1"/>
      <c r="H143" s="4">
        <v>0.4909722222222222</v>
      </c>
      <c r="I143" s="4">
        <v>0.49791666666666667</v>
      </c>
      <c r="J143" s="5">
        <v>20.6</v>
      </c>
      <c r="K143" s="5">
        <v>20.9</v>
      </c>
      <c r="L143" t="s">
        <v>50</v>
      </c>
      <c r="M143" t="s">
        <v>50</v>
      </c>
      <c r="N143" t="s">
        <v>26</v>
      </c>
      <c r="O143" s="2" t="s">
        <v>92</v>
      </c>
      <c r="P143" t="s">
        <v>28</v>
      </c>
      <c r="Q143" t="s">
        <v>28</v>
      </c>
      <c r="R143" s="1"/>
      <c r="S143">
        <v>1</v>
      </c>
      <c r="T143">
        <v>1</v>
      </c>
      <c r="U143">
        <v>1</v>
      </c>
      <c r="V143">
        <v>1</v>
      </c>
      <c r="W143">
        <v>0</v>
      </c>
      <c r="X143">
        <v>1</v>
      </c>
      <c r="Y143">
        <v>1</v>
      </c>
      <c r="Z143">
        <v>1</v>
      </c>
      <c r="AA143">
        <v>1</v>
      </c>
      <c r="AB143">
        <v>0</v>
      </c>
      <c r="AC143" t="s">
        <v>207</v>
      </c>
      <c r="AD143">
        <v>0</v>
      </c>
      <c r="AE143">
        <v>0</v>
      </c>
    </row>
    <row r="144" spans="1:32" x14ac:dyDescent="0.3">
      <c r="A144" t="s">
        <v>388</v>
      </c>
      <c r="B144" s="17">
        <v>45979</v>
      </c>
      <c r="C144" s="6" t="s">
        <v>237</v>
      </c>
      <c r="D144" s="6">
        <v>1</v>
      </c>
      <c r="E144">
        <v>1</v>
      </c>
      <c r="F144">
        <v>2</v>
      </c>
      <c r="G144" s="1"/>
      <c r="H144" s="4">
        <v>0.4909722222222222</v>
      </c>
      <c r="I144" s="4">
        <v>0.49791666666666667</v>
      </c>
      <c r="J144" s="5">
        <v>20.6</v>
      </c>
      <c r="K144" s="5">
        <v>20.9</v>
      </c>
      <c r="L144" t="s">
        <v>50</v>
      </c>
      <c r="M144" t="s">
        <v>50</v>
      </c>
      <c r="N144" t="s">
        <v>26</v>
      </c>
      <c r="O144" t="s">
        <v>31</v>
      </c>
      <c r="P144" t="s">
        <v>28</v>
      </c>
      <c r="Q144" t="s">
        <v>28</v>
      </c>
      <c r="R144" s="1"/>
      <c r="S144">
        <v>1</v>
      </c>
      <c r="T144">
        <v>1</v>
      </c>
      <c r="U144">
        <v>1</v>
      </c>
      <c r="V144">
        <v>1</v>
      </c>
      <c r="W144">
        <v>0</v>
      </c>
      <c r="X144">
        <v>0</v>
      </c>
      <c r="Y144">
        <v>0</v>
      </c>
      <c r="Z144">
        <v>1</v>
      </c>
      <c r="AA144">
        <v>0</v>
      </c>
      <c r="AB144">
        <v>1</v>
      </c>
      <c r="AC144" t="s">
        <v>209</v>
      </c>
      <c r="AD144">
        <v>0</v>
      </c>
      <c r="AE144">
        <v>0</v>
      </c>
    </row>
    <row r="145" spans="1:33" x14ac:dyDescent="0.3">
      <c r="A145" t="s">
        <v>389</v>
      </c>
      <c r="B145" s="17">
        <v>45967</v>
      </c>
      <c r="C145" s="6" t="s">
        <v>236</v>
      </c>
      <c r="D145" s="6">
        <v>3</v>
      </c>
      <c r="E145">
        <v>1</v>
      </c>
      <c r="F145">
        <v>1</v>
      </c>
      <c r="G145" s="1"/>
      <c r="H145" s="4">
        <v>0.49583333333333335</v>
      </c>
      <c r="I145" s="4">
        <v>0.50347222222222221</v>
      </c>
      <c r="J145" s="5">
        <v>18.899999999999999</v>
      </c>
      <c r="K145" s="5">
        <v>19.2</v>
      </c>
      <c r="L145" t="s">
        <v>50</v>
      </c>
      <c r="M145" t="s">
        <v>50</v>
      </c>
      <c r="N145" t="s">
        <v>26</v>
      </c>
      <c r="O145" s="2" t="s">
        <v>92</v>
      </c>
      <c r="P145" s="2" t="s">
        <v>92</v>
      </c>
      <c r="Q145" s="2" t="s">
        <v>92</v>
      </c>
      <c r="R145" s="1"/>
      <c r="S145">
        <v>0</v>
      </c>
      <c r="T145">
        <v>1</v>
      </c>
      <c r="U145">
        <v>1</v>
      </c>
      <c r="V145">
        <v>0</v>
      </c>
      <c r="W145">
        <v>0</v>
      </c>
      <c r="X145">
        <v>0</v>
      </c>
      <c r="Y145">
        <v>0</v>
      </c>
      <c r="Z145">
        <v>1</v>
      </c>
      <c r="AA145">
        <v>0</v>
      </c>
      <c r="AB145">
        <v>0</v>
      </c>
      <c r="AD145">
        <v>0</v>
      </c>
      <c r="AE145">
        <v>0</v>
      </c>
    </row>
    <row r="146" spans="1:33" x14ac:dyDescent="0.3">
      <c r="A146" t="s">
        <v>390</v>
      </c>
      <c r="B146" s="17">
        <v>45967</v>
      </c>
      <c r="C146" s="6" t="s">
        <v>236</v>
      </c>
      <c r="D146" s="6">
        <v>3</v>
      </c>
      <c r="E146">
        <v>1</v>
      </c>
      <c r="F146">
        <v>1</v>
      </c>
      <c r="G146" s="1"/>
      <c r="H146" s="4">
        <v>0.49583333333333335</v>
      </c>
      <c r="I146" s="4">
        <v>0.50347222222222221</v>
      </c>
      <c r="J146" s="5">
        <v>18.899999999999999</v>
      </c>
      <c r="K146" s="5">
        <v>19.2</v>
      </c>
      <c r="L146" t="s">
        <v>50</v>
      </c>
      <c r="M146" t="s">
        <v>50</v>
      </c>
      <c r="N146" t="s">
        <v>26</v>
      </c>
      <c r="O146" s="2" t="s">
        <v>92</v>
      </c>
      <c r="P146" s="2" t="s">
        <v>92</v>
      </c>
      <c r="Q146" s="2" t="s">
        <v>92</v>
      </c>
      <c r="R146" s="1"/>
      <c r="S146">
        <v>0</v>
      </c>
      <c r="T146">
        <v>0</v>
      </c>
      <c r="U146">
        <v>0</v>
      </c>
      <c r="V146">
        <v>1</v>
      </c>
      <c r="W146">
        <v>0</v>
      </c>
      <c r="X146">
        <v>0</v>
      </c>
      <c r="Y146">
        <v>0</v>
      </c>
      <c r="Z146">
        <v>0</v>
      </c>
      <c r="AA146">
        <v>1</v>
      </c>
      <c r="AB146">
        <v>0</v>
      </c>
      <c r="AC146" t="s">
        <v>142</v>
      </c>
      <c r="AD146">
        <v>0</v>
      </c>
      <c r="AE146">
        <v>0</v>
      </c>
    </row>
    <row r="147" spans="1:33" x14ac:dyDescent="0.3">
      <c r="A147" t="s">
        <v>391</v>
      </c>
      <c r="B147" s="17">
        <v>45968</v>
      </c>
      <c r="C147" s="6" t="s">
        <v>236</v>
      </c>
      <c r="D147" s="6">
        <v>5</v>
      </c>
      <c r="E147">
        <v>1</v>
      </c>
      <c r="F147">
        <v>1</v>
      </c>
      <c r="G147" s="1"/>
      <c r="H147" s="4">
        <v>0.49791666666666667</v>
      </c>
      <c r="I147" s="4">
        <v>0.50486111111111109</v>
      </c>
      <c r="J147" s="5">
        <v>23.9</v>
      </c>
      <c r="K147" s="5">
        <v>24.8</v>
      </c>
      <c r="L147" t="s">
        <v>50</v>
      </c>
      <c r="M147" t="s">
        <v>50</v>
      </c>
      <c r="N147" t="s">
        <v>35</v>
      </c>
      <c r="O147" s="2" t="s">
        <v>92</v>
      </c>
      <c r="P147" t="s">
        <v>28</v>
      </c>
      <c r="Q147" t="s">
        <v>28</v>
      </c>
      <c r="R147" s="1"/>
      <c r="S147">
        <v>1</v>
      </c>
      <c r="T147">
        <v>0</v>
      </c>
      <c r="U147">
        <v>1</v>
      </c>
      <c r="V147">
        <v>1</v>
      </c>
      <c r="W147">
        <v>0</v>
      </c>
      <c r="X147">
        <v>1</v>
      </c>
      <c r="Y147">
        <v>0</v>
      </c>
      <c r="Z147">
        <v>1</v>
      </c>
      <c r="AA147">
        <v>1</v>
      </c>
      <c r="AB147">
        <v>0</v>
      </c>
      <c r="AC147" t="s">
        <v>140</v>
      </c>
      <c r="AD147">
        <v>0</v>
      </c>
      <c r="AE147">
        <v>0</v>
      </c>
    </row>
    <row r="148" spans="1:33" x14ac:dyDescent="0.3">
      <c r="A148" t="s">
        <v>392</v>
      </c>
      <c r="B148" s="17">
        <v>45968</v>
      </c>
      <c r="C148" s="6" t="s">
        <v>236</v>
      </c>
      <c r="D148" s="6">
        <v>5</v>
      </c>
      <c r="E148">
        <v>1</v>
      </c>
      <c r="F148">
        <v>1</v>
      </c>
      <c r="G148" s="1"/>
      <c r="H148" s="4">
        <v>0.49791666666666667</v>
      </c>
      <c r="I148" s="4">
        <v>0.50486111111111109</v>
      </c>
      <c r="J148" s="5">
        <v>23.9</v>
      </c>
      <c r="K148" s="5">
        <v>24.8</v>
      </c>
      <c r="L148" t="s">
        <v>50</v>
      </c>
      <c r="M148" t="s">
        <v>50</v>
      </c>
      <c r="N148" t="s">
        <v>35</v>
      </c>
      <c r="O148" s="2" t="s">
        <v>92</v>
      </c>
      <c r="P148" t="s">
        <v>28</v>
      </c>
      <c r="Q148" t="s">
        <v>28</v>
      </c>
      <c r="R148" s="1"/>
      <c r="S148">
        <v>1</v>
      </c>
      <c r="T148">
        <v>0</v>
      </c>
      <c r="U148">
        <v>1</v>
      </c>
      <c r="V148">
        <v>1</v>
      </c>
      <c r="W148">
        <v>0</v>
      </c>
      <c r="X148">
        <v>1</v>
      </c>
      <c r="Y148">
        <v>0</v>
      </c>
      <c r="Z148">
        <v>1</v>
      </c>
      <c r="AA148">
        <v>1</v>
      </c>
      <c r="AB148">
        <v>0</v>
      </c>
      <c r="AC148" t="s">
        <v>134</v>
      </c>
      <c r="AD148">
        <v>0</v>
      </c>
      <c r="AE148">
        <v>0</v>
      </c>
    </row>
    <row r="149" spans="1:33" x14ac:dyDescent="0.3">
      <c r="A149" t="s">
        <v>393</v>
      </c>
      <c r="B149" s="17">
        <v>45973</v>
      </c>
      <c r="C149" s="6" t="s">
        <v>236</v>
      </c>
      <c r="D149" s="6">
        <v>1</v>
      </c>
      <c r="E149">
        <v>1</v>
      </c>
      <c r="F149">
        <v>1</v>
      </c>
      <c r="G149" s="1"/>
      <c r="H149" s="4">
        <v>0.49791666666666667</v>
      </c>
      <c r="I149" s="4">
        <v>0.50486111111111109</v>
      </c>
      <c r="J149" s="5">
        <v>14.7</v>
      </c>
      <c r="K149" s="5">
        <v>15.5</v>
      </c>
      <c r="L149" t="s">
        <v>56</v>
      </c>
      <c r="M149" t="s">
        <v>56</v>
      </c>
      <c r="N149" t="s">
        <v>26</v>
      </c>
      <c r="O149" s="2" t="s">
        <v>92</v>
      </c>
      <c r="P149" t="s">
        <v>28</v>
      </c>
      <c r="Q149" t="s">
        <v>28</v>
      </c>
      <c r="R149" s="1"/>
      <c r="S149">
        <v>1</v>
      </c>
      <c r="T149">
        <v>0</v>
      </c>
      <c r="U149">
        <v>1</v>
      </c>
      <c r="V149">
        <v>1</v>
      </c>
      <c r="W149">
        <v>0</v>
      </c>
      <c r="X149">
        <v>0</v>
      </c>
      <c r="Y149">
        <v>0</v>
      </c>
      <c r="Z149">
        <v>1</v>
      </c>
      <c r="AA149">
        <v>1</v>
      </c>
      <c r="AB149">
        <v>1</v>
      </c>
      <c r="AC149" t="s">
        <v>126</v>
      </c>
      <c r="AD149">
        <v>0</v>
      </c>
      <c r="AE149">
        <v>0</v>
      </c>
    </row>
    <row r="150" spans="1:33" x14ac:dyDescent="0.3">
      <c r="A150" t="s">
        <v>394</v>
      </c>
      <c r="B150" s="17">
        <v>45973</v>
      </c>
      <c r="C150" s="6" t="s">
        <v>236</v>
      </c>
      <c r="D150" s="6">
        <v>1</v>
      </c>
      <c r="E150">
        <v>1</v>
      </c>
      <c r="F150">
        <v>1</v>
      </c>
      <c r="G150" s="1"/>
      <c r="H150" s="4">
        <v>0.49791666666666667</v>
      </c>
      <c r="I150" s="4">
        <v>0.50486111111111109</v>
      </c>
      <c r="J150" s="5">
        <v>14.7</v>
      </c>
      <c r="K150" s="5">
        <v>15.5</v>
      </c>
      <c r="L150" t="s">
        <v>56</v>
      </c>
      <c r="M150" t="s">
        <v>56</v>
      </c>
      <c r="N150" t="s">
        <v>26</v>
      </c>
      <c r="O150" s="2" t="s">
        <v>92</v>
      </c>
      <c r="P150" t="s">
        <v>28</v>
      </c>
      <c r="Q150" t="s">
        <v>28</v>
      </c>
      <c r="R150" s="1"/>
      <c r="S150">
        <v>1</v>
      </c>
      <c r="T150">
        <v>1</v>
      </c>
      <c r="U150">
        <v>1</v>
      </c>
      <c r="V150">
        <v>1</v>
      </c>
      <c r="W150">
        <v>0</v>
      </c>
      <c r="X150">
        <v>0</v>
      </c>
      <c r="Y150">
        <v>0</v>
      </c>
      <c r="Z150">
        <v>1</v>
      </c>
      <c r="AA150">
        <v>1</v>
      </c>
      <c r="AB150">
        <v>1</v>
      </c>
      <c r="AC150" t="s">
        <v>29</v>
      </c>
      <c r="AD150">
        <v>0</v>
      </c>
      <c r="AE150">
        <v>0</v>
      </c>
    </row>
    <row r="151" spans="1:33" x14ac:dyDescent="0.3">
      <c r="A151" t="s">
        <v>395</v>
      </c>
      <c r="B151" s="17">
        <v>45974</v>
      </c>
      <c r="C151" s="6" t="s">
        <v>236</v>
      </c>
      <c r="D151" s="6" t="s">
        <v>241</v>
      </c>
      <c r="E151">
        <v>1</v>
      </c>
      <c r="F151">
        <v>1</v>
      </c>
      <c r="G151" s="1"/>
      <c r="H151" s="4">
        <v>0.49930555555555556</v>
      </c>
      <c r="I151" s="4">
        <v>0.50694444444444442</v>
      </c>
      <c r="J151" s="5">
        <v>21.9</v>
      </c>
      <c r="K151" s="5">
        <v>22.1</v>
      </c>
      <c r="L151" t="s">
        <v>50</v>
      </c>
      <c r="M151" t="s">
        <v>50</v>
      </c>
      <c r="N151" t="s">
        <v>35</v>
      </c>
      <c r="O151" s="2" t="s">
        <v>92</v>
      </c>
      <c r="P151" t="s">
        <v>28</v>
      </c>
      <c r="Q151" t="s">
        <v>28</v>
      </c>
      <c r="R151" s="1"/>
      <c r="S151">
        <v>0</v>
      </c>
      <c r="T151">
        <v>0</v>
      </c>
      <c r="U151">
        <v>1</v>
      </c>
      <c r="V151">
        <v>1</v>
      </c>
      <c r="W151">
        <v>0</v>
      </c>
      <c r="X151">
        <v>0</v>
      </c>
      <c r="Y151">
        <v>0</v>
      </c>
      <c r="Z151">
        <v>1</v>
      </c>
      <c r="AA151">
        <v>1</v>
      </c>
      <c r="AB151">
        <v>1</v>
      </c>
      <c r="AD151">
        <v>1</v>
      </c>
      <c r="AE151">
        <v>0</v>
      </c>
    </row>
    <row r="152" spans="1:33" x14ac:dyDescent="0.3">
      <c r="A152" t="s">
        <v>396</v>
      </c>
      <c r="B152" s="17">
        <v>45974</v>
      </c>
      <c r="C152" s="6" t="s">
        <v>236</v>
      </c>
      <c r="D152" s="6" t="s">
        <v>241</v>
      </c>
      <c r="E152">
        <v>1</v>
      </c>
      <c r="F152">
        <v>1</v>
      </c>
      <c r="G152" s="1"/>
      <c r="H152" s="4">
        <v>0.49930555555555556</v>
      </c>
      <c r="I152" s="4">
        <v>0.50624999999999998</v>
      </c>
      <c r="J152" s="5">
        <v>21.9</v>
      </c>
      <c r="K152" s="5">
        <v>22.1</v>
      </c>
      <c r="L152" t="s">
        <v>50</v>
      </c>
      <c r="M152" t="s">
        <v>50</v>
      </c>
      <c r="N152" t="s">
        <v>35</v>
      </c>
      <c r="O152" s="2" t="s">
        <v>92</v>
      </c>
      <c r="P152" t="s">
        <v>28</v>
      </c>
      <c r="Q152" t="s">
        <v>28</v>
      </c>
      <c r="R152" s="1"/>
      <c r="S152">
        <v>1</v>
      </c>
      <c r="T152">
        <v>0</v>
      </c>
      <c r="U152">
        <v>1</v>
      </c>
      <c r="V152">
        <v>0</v>
      </c>
      <c r="W152">
        <v>0</v>
      </c>
      <c r="X152">
        <v>0</v>
      </c>
      <c r="Y152">
        <v>0</v>
      </c>
      <c r="Z152">
        <v>0</v>
      </c>
      <c r="AA152">
        <v>1</v>
      </c>
      <c r="AB152">
        <v>1</v>
      </c>
      <c r="AC152" t="s">
        <v>165</v>
      </c>
      <c r="AD152">
        <v>1</v>
      </c>
      <c r="AE152">
        <v>0</v>
      </c>
    </row>
    <row r="153" spans="1:33" x14ac:dyDescent="0.3">
      <c r="A153" t="s">
        <v>397</v>
      </c>
      <c r="B153" s="17">
        <v>45999</v>
      </c>
      <c r="C153" s="6" t="s">
        <v>236</v>
      </c>
      <c r="D153" s="6" t="s">
        <v>242</v>
      </c>
      <c r="E153">
        <v>1</v>
      </c>
      <c r="F153">
        <v>2</v>
      </c>
      <c r="G153" s="1"/>
      <c r="H153" s="4">
        <v>0.50069444444444444</v>
      </c>
      <c r="I153" s="4">
        <v>0.50763888888888886</v>
      </c>
      <c r="J153" s="5">
        <v>22.9</v>
      </c>
      <c r="K153" s="5">
        <v>22.9</v>
      </c>
      <c r="L153" t="s">
        <v>30</v>
      </c>
      <c r="M153" t="s">
        <v>30</v>
      </c>
      <c r="N153" t="s">
        <v>35</v>
      </c>
      <c r="O153" t="s">
        <v>26</v>
      </c>
      <c r="P153" t="s">
        <v>28</v>
      </c>
      <c r="Q153" t="s">
        <v>28</v>
      </c>
      <c r="R153" s="1"/>
      <c r="S153">
        <v>0</v>
      </c>
      <c r="T153">
        <v>1</v>
      </c>
      <c r="U153">
        <v>0</v>
      </c>
      <c r="V153">
        <v>1</v>
      </c>
      <c r="W153">
        <v>0</v>
      </c>
      <c r="X153">
        <v>0</v>
      </c>
      <c r="Y153">
        <v>0</v>
      </c>
      <c r="Z153">
        <v>0</v>
      </c>
      <c r="AA153">
        <v>0</v>
      </c>
      <c r="AB153">
        <v>0</v>
      </c>
      <c r="AC153" t="s">
        <v>51</v>
      </c>
      <c r="AD153">
        <v>2</v>
      </c>
      <c r="AE153">
        <v>0</v>
      </c>
    </row>
    <row r="154" spans="1:33" x14ac:dyDescent="0.3">
      <c r="A154" t="s">
        <v>398</v>
      </c>
      <c r="B154" s="17">
        <v>45999</v>
      </c>
      <c r="C154" s="6" t="s">
        <v>236</v>
      </c>
      <c r="D154" s="6" t="s">
        <v>242</v>
      </c>
      <c r="E154">
        <v>1</v>
      </c>
      <c r="F154">
        <v>1</v>
      </c>
      <c r="G154" s="1"/>
      <c r="H154" s="4">
        <v>0.50069444444444444</v>
      </c>
      <c r="I154" s="4">
        <v>0.50763888888888886</v>
      </c>
      <c r="J154" s="5">
        <v>22.9</v>
      </c>
      <c r="K154" s="5">
        <v>22.9</v>
      </c>
      <c r="L154" t="s">
        <v>30</v>
      </c>
      <c r="M154" t="s">
        <v>30</v>
      </c>
      <c r="N154" t="s">
        <v>35</v>
      </c>
      <c r="O154" t="s">
        <v>26</v>
      </c>
      <c r="P154" t="s">
        <v>28</v>
      </c>
      <c r="Q154" t="s">
        <v>28</v>
      </c>
      <c r="R154" s="1"/>
      <c r="S154">
        <v>0</v>
      </c>
      <c r="T154">
        <v>0</v>
      </c>
      <c r="U154">
        <v>0</v>
      </c>
      <c r="V154">
        <v>1</v>
      </c>
      <c r="W154">
        <v>1</v>
      </c>
      <c r="X154">
        <v>0</v>
      </c>
      <c r="Y154">
        <v>0</v>
      </c>
      <c r="Z154">
        <v>1</v>
      </c>
      <c r="AA154">
        <v>1</v>
      </c>
      <c r="AB154">
        <v>1</v>
      </c>
      <c r="AC154" t="s">
        <v>36</v>
      </c>
      <c r="AD154">
        <v>1</v>
      </c>
      <c r="AE154">
        <v>0</v>
      </c>
      <c r="AF154" t="s">
        <v>64</v>
      </c>
      <c r="AG154" t="s">
        <v>65</v>
      </c>
    </row>
    <row r="155" spans="1:33" x14ac:dyDescent="0.3">
      <c r="A155" t="s">
        <v>399</v>
      </c>
      <c r="B155" s="17">
        <v>45993</v>
      </c>
      <c r="C155" s="6" t="s">
        <v>236</v>
      </c>
      <c r="D155" s="6" t="s">
        <v>241</v>
      </c>
      <c r="E155">
        <v>1</v>
      </c>
      <c r="F155">
        <v>1</v>
      </c>
      <c r="G155" s="1"/>
      <c r="H155" s="4">
        <v>0.50486111111111109</v>
      </c>
      <c r="I155" s="4">
        <v>0.5131944444444444</v>
      </c>
      <c r="J155" s="5">
        <v>17.399999999999999</v>
      </c>
      <c r="K155" s="5">
        <v>17.600000000000001</v>
      </c>
      <c r="L155" t="s">
        <v>50</v>
      </c>
      <c r="M155" t="s">
        <v>50</v>
      </c>
      <c r="N155" t="s">
        <v>26</v>
      </c>
      <c r="O155" s="2" t="s">
        <v>92</v>
      </c>
      <c r="P155" t="s">
        <v>28</v>
      </c>
      <c r="Q155" t="s">
        <v>28</v>
      </c>
      <c r="R155" s="1"/>
      <c r="S155">
        <v>1</v>
      </c>
      <c r="T155">
        <v>0</v>
      </c>
      <c r="U155">
        <v>1</v>
      </c>
      <c r="V155">
        <v>1</v>
      </c>
      <c r="W155">
        <v>0</v>
      </c>
      <c r="X155">
        <v>0</v>
      </c>
      <c r="Y155">
        <v>0</v>
      </c>
      <c r="Z155">
        <v>1</v>
      </c>
      <c r="AA155">
        <v>1</v>
      </c>
      <c r="AB155">
        <v>0</v>
      </c>
      <c r="AC155" t="s">
        <v>99</v>
      </c>
      <c r="AD155">
        <v>4</v>
      </c>
      <c r="AE155">
        <v>0</v>
      </c>
      <c r="AF155" t="s">
        <v>100</v>
      </c>
    </row>
    <row r="156" spans="1:33" x14ac:dyDescent="0.3">
      <c r="A156" t="s">
        <v>400</v>
      </c>
      <c r="B156" s="17">
        <v>45979</v>
      </c>
      <c r="C156" s="6" t="s">
        <v>237</v>
      </c>
      <c r="D156" s="6">
        <v>2</v>
      </c>
      <c r="E156">
        <v>1</v>
      </c>
      <c r="F156">
        <v>1</v>
      </c>
      <c r="G156" s="1"/>
      <c r="H156" s="4">
        <v>0.50694444444444442</v>
      </c>
      <c r="I156" s="4">
        <v>0.51388888888888884</v>
      </c>
      <c r="J156" s="5">
        <v>21.8</v>
      </c>
      <c r="K156" s="5">
        <v>21.2</v>
      </c>
      <c r="L156" t="s">
        <v>50</v>
      </c>
      <c r="M156" t="s">
        <v>50</v>
      </c>
      <c r="N156" t="s">
        <v>35</v>
      </c>
      <c r="O156" s="2" t="s">
        <v>92</v>
      </c>
      <c r="P156" t="s">
        <v>28</v>
      </c>
      <c r="Q156" t="s">
        <v>28</v>
      </c>
      <c r="R156" s="1"/>
      <c r="S156">
        <v>0</v>
      </c>
      <c r="T156">
        <v>0</v>
      </c>
      <c r="U156">
        <v>1</v>
      </c>
      <c r="V156">
        <v>0</v>
      </c>
      <c r="W156">
        <v>0</v>
      </c>
      <c r="X156">
        <v>1</v>
      </c>
      <c r="Y156">
        <v>0</v>
      </c>
      <c r="Z156">
        <v>0</v>
      </c>
      <c r="AA156">
        <v>1</v>
      </c>
      <c r="AB156">
        <v>0</v>
      </c>
      <c r="AD156">
        <v>0</v>
      </c>
      <c r="AE156">
        <v>0</v>
      </c>
    </row>
    <row r="157" spans="1:33" x14ac:dyDescent="0.3">
      <c r="A157" t="s">
        <v>401</v>
      </c>
      <c r="B157" s="17">
        <v>45979</v>
      </c>
      <c r="C157" s="6" t="s">
        <v>237</v>
      </c>
      <c r="D157" s="6">
        <v>2</v>
      </c>
      <c r="E157">
        <v>1</v>
      </c>
      <c r="F157">
        <v>1</v>
      </c>
      <c r="G157" s="1"/>
      <c r="H157" s="4">
        <v>0.50694444444444442</v>
      </c>
      <c r="I157" s="4">
        <v>0.51388888888888884</v>
      </c>
      <c r="J157" s="5">
        <v>21.8</v>
      </c>
      <c r="K157" s="5">
        <v>21.2</v>
      </c>
      <c r="L157" t="s">
        <v>50</v>
      </c>
      <c r="M157" t="s">
        <v>56</v>
      </c>
      <c r="N157" t="s">
        <v>35</v>
      </c>
      <c r="O157" t="s">
        <v>31</v>
      </c>
      <c r="P157" t="s">
        <v>28</v>
      </c>
      <c r="Q157" t="s">
        <v>28</v>
      </c>
      <c r="R157" s="1"/>
      <c r="S157">
        <v>1</v>
      </c>
      <c r="T157">
        <v>0</v>
      </c>
      <c r="U157">
        <v>1</v>
      </c>
      <c r="V157">
        <v>0</v>
      </c>
      <c r="W157">
        <v>0</v>
      </c>
      <c r="X157">
        <v>0</v>
      </c>
      <c r="Y157">
        <v>1</v>
      </c>
      <c r="Z157">
        <v>1</v>
      </c>
      <c r="AA157">
        <v>1</v>
      </c>
      <c r="AB157">
        <v>0</v>
      </c>
      <c r="AC157" t="s">
        <v>191</v>
      </c>
      <c r="AD157">
        <v>0</v>
      </c>
      <c r="AE157">
        <v>0</v>
      </c>
    </row>
    <row r="158" spans="1:33" x14ac:dyDescent="0.3">
      <c r="A158" t="s">
        <v>402</v>
      </c>
      <c r="B158" s="17">
        <v>45967</v>
      </c>
      <c r="C158" s="6" t="s">
        <v>236</v>
      </c>
      <c r="D158" s="6">
        <v>3</v>
      </c>
      <c r="E158">
        <v>2</v>
      </c>
      <c r="F158">
        <v>1</v>
      </c>
      <c r="G158" s="1"/>
      <c r="H158" s="4">
        <v>0.50763888888888886</v>
      </c>
      <c r="I158" s="4">
        <v>0.51527777777777772</v>
      </c>
      <c r="J158" s="5">
        <v>19.2</v>
      </c>
      <c r="K158" s="5">
        <v>20</v>
      </c>
      <c r="L158" t="s">
        <v>56</v>
      </c>
      <c r="M158" t="s">
        <v>56</v>
      </c>
      <c r="N158" t="s">
        <v>37</v>
      </c>
      <c r="O158" s="2" t="s">
        <v>92</v>
      </c>
      <c r="P158" s="2" t="s">
        <v>92</v>
      </c>
      <c r="Q158" s="2" t="s">
        <v>92</v>
      </c>
      <c r="R158" s="1"/>
      <c r="S158">
        <v>0</v>
      </c>
      <c r="T158">
        <v>1</v>
      </c>
      <c r="U158">
        <v>1</v>
      </c>
      <c r="V158">
        <v>1</v>
      </c>
      <c r="W158">
        <v>0</v>
      </c>
      <c r="X158">
        <v>0</v>
      </c>
      <c r="Y158">
        <v>0</v>
      </c>
      <c r="Z158">
        <v>1</v>
      </c>
      <c r="AA158">
        <v>0</v>
      </c>
      <c r="AB158">
        <v>0</v>
      </c>
      <c r="AC158" t="s">
        <v>208</v>
      </c>
      <c r="AD158">
        <v>0</v>
      </c>
      <c r="AE158">
        <v>0</v>
      </c>
    </row>
    <row r="159" spans="1:33" x14ac:dyDescent="0.3">
      <c r="A159" t="s">
        <v>403</v>
      </c>
      <c r="B159" s="17">
        <v>45967</v>
      </c>
      <c r="C159" s="6" t="s">
        <v>236</v>
      </c>
      <c r="D159" s="6">
        <v>3</v>
      </c>
      <c r="E159">
        <v>2</v>
      </c>
      <c r="F159">
        <v>1</v>
      </c>
      <c r="G159" s="1"/>
      <c r="H159" s="4">
        <v>0.50763888888888886</v>
      </c>
      <c r="I159" s="4">
        <v>0.51527777777777772</v>
      </c>
      <c r="J159" s="5">
        <v>19.2</v>
      </c>
      <c r="K159" s="5">
        <v>20</v>
      </c>
      <c r="L159" t="s">
        <v>56</v>
      </c>
      <c r="M159" t="s">
        <v>56</v>
      </c>
      <c r="N159" t="s">
        <v>37</v>
      </c>
      <c r="O159" s="2" t="s">
        <v>92</v>
      </c>
      <c r="P159" s="2" t="s">
        <v>92</v>
      </c>
      <c r="Q159" s="2" t="s">
        <v>92</v>
      </c>
      <c r="R159" s="1"/>
      <c r="S159">
        <v>0</v>
      </c>
      <c r="T159">
        <v>0</v>
      </c>
      <c r="U159">
        <v>1</v>
      </c>
      <c r="V159">
        <v>1</v>
      </c>
      <c r="W159">
        <v>0</v>
      </c>
      <c r="X159">
        <v>1</v>
      </c>
      <c r="Y159">
        <v>0</v>
      </c>
      <c r="Z159">
        <v>1</v>
      </c>
      <c r="AA159">
        <v>0</v>
      </c>
      <c r="AB159">
        <v>0</v>
      </c>
      <c r="AC159" t="s">
        <v>233</v>
      </c>
      <c r="AD159">
        <v>0</v>
      </c>
      <c r="AE159">
        <v>0</v>
      </c>
    </row>
    <row r="160" spans="1:33" x14ac:dyDescent="0.3">
      <c r="A160" t="s">
        <v>404</v>
      </c>
      <c r="B160" s="17">
        <v>45993</v>
      </c>
      <c r="C160" s="6" t="s">
        <v>236</v>
      </c>
      <c r="D160" s="6" t="s">
        <v>241</v>
      </c>
      <c r="E160">
        <v>1</v>
      </c>
      <c r="F160">
        <v>2</v>
      </c>
      <c r="G160" s="1"/>
      <c r="H160" s="4">
        <v>0.51527777777777772</v>
      </c>
      <c r="I160" s="4">
        <v>0.52430555555555558</v>
      </c>
      <c r="J160" s="5">
        <v>17.600000000000001</v>
      </c>
      <c r="K160" s="5">
        <v>18.2</v>
      </c>
      <c r="L160" t="s">
        <v>50</v>
      </c>
      <c r="M160" t="s">
        <v>56</v>
      </c>
      <c r="N160" t="s">
        <v>35</v>
      </c>
      <c r="O160" s="2" t="s">
        <v>92</v>
      </c>
      <c r="P160" t="s">
        <v>28</v>
      </c>
      <c r="Q160" t="s">
        <v>28</v>
      </c>
      <c r="R160" s="1"/>
      <c r="S160">
        <v>1</v>
      </c>
      <c r="T160">
        <v>0</v>
      </c>
      <c r="U160">
        <v>1</v>
      </c>
      <c r="V160">
        <v>1</v>
      </c>
      <c r="W160">
        <v>1</v>
      </c>
      <c r="X160">
        <v>0</v>
      </c>
      <c r="Y160">
        <v>0</v>
      </c>
      <c r="Z160">
        <v>1</v>
      </c>
      <c r="AA160">
        <v>0</v>
      </c>
      <c r="AB160">
        <v>1</v>
      </c>
      <c r="AC160" t="s">
        <v>101</v>
      </c>
      <c r="AD160">
        <v>2</v>
      </c>
      <c r="AE160">
        <v>0</v>
      </c>
      <c r="AF160" t="s">
        <v>72</v>
      </c>
    </row>
    <row r="161" spans="1:32" x14ac:dyDescent="0.3">
      <c r="A161" t="s">
        <v>405</v>
      </c>
      <c r="B161" s="17">
        <v>45979</v>
      </c>
      <c r="C161" s="6" t="s">
        <v>237</v>
      </c>
      <c r="D161" s="6">
        <v>2</v>
      </c>
      <c r="E161">
        <v>1</v>
      </c>
      <c r="F161">
        <v>2</v>
      </c>
      <c r="G161" s="1"/>
      <c r="H161" s="4">
        <v>0.51597222222222228</v>
      </c>
      <c r="I161" s="4">
        <v>0.5229166666666667</v>
      </c>
      <c r="J161" s="5">
        <v>21.2</v>
      </c>
      <c r="K161" s="5">
        <v>22.7</v>
      </c>
      <c r="L161" t="s">
        <v>56</v>
      </c>
      <c r="M161" t="s">
        <v>56</v>
      </c>
      <c r="N161" t="s">
        <v>31</v>
      </c>
      <c r="O161" s="2" t="s">
        <v>92</v>
      </c>
      <c r="P161" t="s">
        <v>28</v>
      </c>
      <c r="Q161" t="s">
        <v>28</v>
      </c>
      <c r="R161" s="1"/>
      <c r="S161">
        <v>1</v>
      </c>
      <c r="T161">
        <v>1</v>
      </c>
      <c r="U161">
        <v>0</v>
      </c>
      <c r="V161">
        <v>1</v>
      </c>
      <c r="W161">
        <v>0</v>
      </c>
      <c r="X161">
        <v>1</v>
      </c>
      <c r="Y161">
        <v>0</v>
      </c>
      <c r="Z161">
        <v>0</v>
      </c>
      <c r="AA161">
        <v>1</v>
      </c>
      <c r="AB161">
        <v>1</v>
      </c>
      <c r="AC161" t="s">
        <v>38</v>
      </c>
      <c r="AD161">
        <v>0</v>
      </c>
      <c r="AE161">
        <v>0</v>
      </c>
    </row>
    <row r="162" spans="1:32" x14ac:dyDescent="0.3">
      <c r="A162" t="s">
        <v>406</v>
      </c>
      <c r="B162" s="17">
        <v>45979</v>
      </c>
      <c r="C162" s="6" t="s">
        <v>237</v>
      </c>
      <c r="D162" s="6">
        <v>2</v>
      </c>
      <c r="E162">
        <v>1</v>
      </c>
      <c r="F162">
        <v>2</v>
      </c>
      <c r="G162" s="1"/>
      <c r="H162" s="4">
        <v>0.51666666666666672</v>
      </c>
      <c r="I162" s="4">
        <v>0.52361111111111114</v>
      </c>
      <c r="J162" s="5">
        <v>21.2</v>
      </c>
      <c r="K162" s="5">
        <v>22.7</v>
      </c>
      <c r="L162" t="s">
        <v>56</v>
      </c>
      <c r="M162" t="s">
        <v>56</v>
      </c>
      <c r="N162" t="s">
        <v>31</v>
      </c>
      <c r="O162" s="2" t="s">
        <v>92</v>
      </c>
      <c r="P162" t="s">
        <v>28</v>
      </c>
      <c r="Q162" t="s">
        <v>28</v>
      </c>
      <c r="R162" s="1"/>
      <c r="S162">
        <v>1</v>
      </c>
      <c r="T162">
        <v>0</v>
      </c>
      <c r="U162">
        <v>1</v>
      </c>
      <c r="V162">
        <v>1</v>
      </c>
      <c r="W162">
        <v>0</v>
      </c>
      <c r="X162">
        <v>0</v>
      </c>
      <c r="Y162">
        <v>0</v>
      </c>
      <c r="Z162">
        <v>1</v>
      </c>
      <c r="AA162">
        <v>1</v>
      </c>
      <c r="AB162">
        <v>1</v>
      </c>
      <c r="AC162" t="s">
        <v>106</v>
      </c>
      <c r="AD162">
        <v>0</v>
      </c>
      <c r="AE162">
        <v>0</v>
      </c>
    </row>
    <row r="163" spans="1:32" x14ac:dyDescent="0.3">
      <c r="A163" t="s">
        <v>407</v>
      </c>
      <c r="B163" s="17">
        <v>45997</v>
      </c>
      <c r="C163" s="6" t="s">
        <v>236</v>
      </c>
      <c r="D163" s="6">
        <v>1</v>
      </c>
      <c r="E163">
        <v>1</v>
      </c>
      <c r="F163">
        <v>1</v>
      </c>
      <c r="G163" s="1"/>
      <c r="H163" s="4">
        <v>0.52013888888888893</v>
      </c>
      <c r="I163" s="4">
        <v>0.52777777777777779</v>
      </c>
      <c r="J163" s="5">
        <v>34.1</v>
      </c>
      <c r="K163" s="5">
        <v>34.4</v>
      </c>
      <c r="L163" t="s">
        <v>32</v>
      </c>
      <c r="M163" t="s">
        <v>32</v>
      </c>
      <c r="N163" t="s">
        <v>35</v>
      </c>
      <c r="O163" t="s">
        <v>35</v>
      </c>
      <c r="P163" t="s">
        <v>28</v>
      </c>
      <c r="Q163" t="s">
        <v>28</v>
      </c>
      <c r="R163" s="1"/>
      <c r="S163">
        <v>1</v>
      </c>
      <c r="T163">
        <v>0</v>
      </c>
      <c r="U163">
        <v>0</v>
      </c>
      <c r="V163">
        <v>1</v>
      </c>
      <c r="W163">
        <v>1</v>
      </c>
      <c r="X163">
        <v>1</v>
      </c>
      <c r="Y163">
        <v>0</v>
      </c>
      <c r="Z163">
        <v>1</v>
      </c>
      <c r="AA163">
        <v>1</v>
      </c>
      <c r="AB163">
        <v>0</v>
      </c>
      <c r="AC163" t="s">
        <v>81</v>
      </c>
      <c r="AD163">
        <v>2</v>
      </c>
      <c r="AE163">
        <v>0</v>
      </c>
      <c r="AF163" t="s">
        <v>82</v>
      </c>
    </row>
    <row r="164" spans="1:32" x14ac:dyDescent="0.3">
      <c r="A164" t="s">
        <v>408</v>
      </c>
      <c r="B164" s="17">
        <v>46008</v>
      </c>
      <c r="C164" s="6" t="s">
        <v>238</v>
      </c>
      <c r="D164" s="6">
        <v>9</v>
      </c>
      <c r="E164">
        <v>1</v>
      </c>
      <c r="F164">
        <v>1</v>
      </c>
      <c r="G164" s="1"/>
      <c r="H164" s="4">
        <v>0.52013888888888893</v>
      </c>
      <c r="I164" s="4">
        <v>0.52708333333333335</v>
      </c>
      <c r="J164" s="5">
        <v>27.9</v>
      </c>
      <c r="K164" s="5">
        <v>28.4</v>
      </c>
      <c r="L164" t="s">
        <v>56</v>
      </c>
      <c r="M164" t="s">
        <v>56</v>
      </c>
      <c r="N164" t="s">
        <v>35</v>
      </c>
      <c r="O164" t="s">
        <v>35</v>
      </c>
      <c r="P164" t="s">
        <v>28</v>
      </c>
      <c r="Q164" t="s">
        <v>28</v>
      </c>
      <c r="R164" s="1"/>
      <c r="S164">
        <v>1</v>
      </c>
      <c r="T164">
        <v>0</v>
      </c>
      <c r="U164">
        <v>0</v>
      </c>
      <c r="V164">
        <v>1</v>
      </c>
      <c r="W164">
        <v>1</v>
      </c>
      <c r="X164">
        <v>1</v>
      </c>
      <c r="Y164">
        <v>0</v>
      </c>
      <c r="Z164">
        <v>1</v>
      </c>
      <c r="AA164">
        <v>1</v>
      </c>
      <c r="AB164">
        <v>1</v>
      </c>
      <c r="AC164" t="s">
        <v>51</v>
      </c>
      <c r="AD164">
        <v>0</v>
      </c>
      <c r="AE164">
        <v>0</v>
      </c>
    </row>
    <row r="165" spans="1:32" x14ac:dyDescent="0.3">
      <c r="A165" t="s">
        <v>409</v>
      </c>
      <c r="B165" s="17">
        <v>46008</v>
      </c>
      <c r="C165" s="6" t="s">
        <v>238</v>
      </c>
      <c r="D165" s="6">
        <v>9</v>
      </c>
      <c r="E165">
        <v>1</v>
      </c>
      <c r="F165">
        <v>1</v>
      </c>
      <c r="G165" s="1"/>
      <c r="H165" s="4">
        <v>0.52013888888888893</v>
      </c>
      <c r="I165" s="4">
        <v>0.52847222222222223</v>
      </c>
      <c r="J165" s="5">
        <v>27.9</v>
      </c>
      <c r="K165" s="5">
        <v>28.4</v>
      </c>
      <c r="L165" t="s">
        <v>56</v>
      </c>
      <c r="M165" t="s">
        <v>56</v>
      </c>
      <c r="N165" t="s">
        <v>35</v>
      </c>
      <c r="O165" t="s">
        <v>26</v>
      </c>
      <c r="P165" t="s">
        <v>28</v>
      </c>
      <c r="Q165" t="s">
        <v>28</v>
      </c>
      <c r="R165" s="1"/>
      <c r="S165">
        <v>1</v>
      </c>
      <c r="T165">
        <v>0</v>
      </c>
      <c r="U165">
        <v>0</v>
      </c>
      <c r="V165">
        <v>1</v>
      </c>
      <c r="W165">
        <v>1</v>
      </c>
      <c r="X165">
        <v>0</v>
      </c>
      <c r="Y165">
        <v>0</v>
      </c>
      <c r="Z165">
        <v>1</v>
      </c>
      <c r="AA165">
        <v>1</v>
      </c>
      <c r="AB165">
        <v>1</v>
      </c>
      <c r="AC165" t="s">
        <v>175</v>
      </c>
      <c r="AD165">
        <v>0</v>
      </c>
      <c r="AE165">
        <v>0</v>
      </c>
    </row>
    <row r="166" spans="1:32" x14ac:dyDescent="0.3">
      <c r="A166" t="s">
        <v>410</v>
      </c>
      <c r="B166" s="17">
        <v>45995</v>
      </c>
      <c r="C166" s="6" t="s">
        <v>238</v>
      </c>
      <c r="D166" s="6">
        <v>1</v>
      </c>
      <c r="E166">
        <v>1</v>
      </c>
      <c r="F166">
        <v>1</v>
      </c>
      <c r="G166" s="1"/>
      <c r="H166" s="4">
        <v>0.52083333333333337</v>
      </c>
      <c r="I166" s="4">
        <v>0.52847222222222223</v>
      </c>
      <c r="J166" s="5">
        <v>27.8</v>
      </c>
      <c r="K166" s="5">
        <v>28.3</v>
      </c>
      <c r="L166" t="s">
        <v>56</v>
      </c>
      <c r="M166" t="s">
        <v>56</v>
      </c>
      <c r="N166" t="s">
        <v>35</v>
      </c>
      <c r="O166" t="s">
        <v>35</v>
      </c>
      <c r="P166" t="s">
        <v>28</v>
      </c>
      <c r="Q166" t="s">
        <v>28</v>
      </c>
      <c r="R166" s="1"/>
      <c r="S166">
        <v>1</v>
      </c>
      <c r="T166">
        <v>0</v>
      </c>
      <c r="U166">
        <v>0</v>
      </c>
      <c r="V166">
        <v>1</v>
      </c>
      <c r="W166">
        <v>0</v>
      </c>
      <c r="X166">
        <v>0</v>
      </c>
      <c r="Y166">
        <v>0</v>
      </c>
      <c r="Z166">
        <v>1</v>
      </c>
      <c r="AA166">
        <v>1</v>
      </c>
      <c r="AB166">
        <v>1</v>
      </c>
      <c r="AC166" t="s">
        <v>76</v>
      </c>
      <c r="AD166">
        <v>4</v>
      </c>
      <c r="AE166">
        <v>0</v>
      </c>
      <c r="AF166" s="2" t="s">
        <v>77</v>
      </c>
    </row>
    <row r="167" spans="1:32" x14ac:dyDescent="0.3">
      <c r="A167" t="s">
        <v>411</v>
      </c>
      <c r="B167" s="17">
        <v>45995</v>
      </c>
      <c r="C167" s="6" t="s">
        <v>238</v>
      </c>
      <c r="D167" s="6">
        <v>1</v>
      </c>
      <c r="E167">
        <v>1</v>
      </c>
      <c r="F167">
        <v>1</v>
      </c>
      <c r="G167" s="1"/>
      <c r="H167" s="4">
        <v>0.52152777777777781</v>
      </c>
      <c r="I167" s="4">
        <v>0.52847222222222223</v>
      </c>
      <c r="J167" s="5">
        <v>27.8</v>
      </c>
      <c r="K167" s="5">
        <v>28.3</v>
      </c>
      <c r="L167" t="s">
        <v>56</v>
      </c>
      <c r="M167" t="s">
        <v>56</v>
      </c>
      <c r="N167" t="s">
        <v>35</v>
      </c>
      <c r="O167" t="s">
        <v>35</v>
      </c>
      <c r="P167" t="s">
        <v>28</v>
      </c>
      <c r="Q167" t="s">
        <v>28</v>
      </c>
      <c r="R167" s="1"/>
      <c r="S167">
        <v>1</v>
      </c>
      <c r="T167">
        <v>0</v>
      </c>
      <c r="U167">
        <v>0</v>
      </c>
      <c r="V167">
        <v>0</v>
      </c>
      <c r="W167">
        <v>0</v>
      </c>
      <c r="X167">
        <v>0</v>
      </c>
      <c r="Y167">
        <v>0</v>
      </c>
      <c r="Z167">
        <v>1</v>
      </c>
      <c r="AA167">
        <v>1</v>
      </c>
      <c r="AB167">
        <v>1</v>
      </c>
      <c r="AC167" t="s">
        <v>73</v>
      </c>
      <c r="AD167">
        <v>2</v>
      </c>
      <c r="AE167">
        <v>0</v>
      </c>
    </row>
    <row r="168" spans="1:32" x14ac:dyDescent="0.3">
      <c r="A168" t="s">
        <v>412</v>
      </c>
      <c r="B168" s="17">
        <v>45979</v>
      </c>
      <c r="C168" s="6" t="s">
        <v>237</v>
      </c>
      <c r="D168" s="6">
        <v>2</v>
      </c>
      <c r="E168">
        <v>1</v>
      </c>
      <c r="F168">
        <v>3</v>
      </c>
      <c r="G168" s="1"/>
      <c r="H168" s="4">
        <v>0.52500000000000002</v>
      </c>
      <c r="I168" s="4">
        <v>0.53194444444444444</v>
      </c>
      <c r="J168" s="5">
        <v>22.7</v>
      </c>
      <c r="K168" s="5">
        <v>22.2</v>
      </c>
      <c r="L168" t="s">
        <v>56</v>
      </c>
      <c r="M168" t="s">
        <v>56</v>
      </c>
      <c r="N168" t="s">
        <v>35</v>
      </c>
      <c r="O168" s="2" t="s">
        <v>92</v>
      </c>
      <c r="P168" t="s">
        <v>28</v>
      </c>
      <c r="Q168" t="s">
        <v>28</v>
      </c>
      <c r="R168" s="1"/>
      <c r="S168">
        <v>1</v>
      </c>
      <c r="T168">
        <v>1</v>
      </c>
      <c r="U168">
        <v>1</v>
      </c>
      <c r="V168">
        <v>1</v>
      </c>
      <c r="W168">
        <v>0</v>
      </c>
      <c r="X168">
        <v>0</v>
      </c>
      <c r="Y168">
        <v>0</v>
      </c>
      <c r="Z168">
        <v>1</v>
      </c>
      <c r="AA168">
        <v>1</v>
      </c>
      <c r="AB168">
        <v>0</v>
      </c>
      <c r="AC168" t="s">
        <v>156</v>
      </c>
      <c r="AD168">
        <v>0</v>
      </c>
      <c r="AE168">
        <v>0</v>
      </c>
    </row>
    <row r="169" spans="1:32" x14ac:dyDescent="0.3">
      <c r="A169" t="s">
        <v>413</v>
      </c>
      <c r="B169" s="17">
        <v>45979</v>
      </c>
      <c r="C169" s="6" t="s">
        <v>237</v>
      </c>
      <c r="D169" s="6">
        <v>2</v>
      </c>
      <c r="E169">
        <v>1</v>
      </c>
      <c r="F169">
        <v>3</v>
      </c>
      <c r="G169" s="1"/>
      <c r="H169" s="4">
        <v>0.52500000000000002</v>
      </c>
      <c r="I169" s="4">
        <v>0.53194444444444444</v>
      </c>
      <c r="J169" s="5">
        <v>22.7</v>
      </c>
      <c r="K169" s="5">
        <v>22.2</v>
      </c>
      <c r="L169" t="s">
        <v>56</v>
      </c>
      <c r="M169" t="s">
        <v>56</v>
      </c>
      <c r="N169" t="s">
        <v>31</v>
      </c>
      <c r="O169" s="2" t="s">
        <v>92</v>
      </c>
      <c r="P169" t="s">
        <v>28</v>
      </c>
      <c r="Q169" t="s">
        <v>28</v>
      </c>
      <c r="R169" s="1"/>
      <c r="S169">
        <v>1</v>
      </c>
      <c r="T169">
        <v>0</v>
      </c>
      <c r="U169">
        <v>1</v>
      </c>
      <c r="V169">
        <v>1</v>
      </c>
      <c r="W169">
        <v>0</v>
      </c>
      <c r="X169">
        <v>0</v>
      </c>
      <c r="Y169">
        <v>0</v>
      </c>
      <c r="Z169">
        <v>0</v>
      </c>
      <c r="AA169">
        <v>1</v>
      </c>
      <c r="AB169">
        <v>0</v>
      </c>
      <c r="AD169">
        <v>0</v>
      </c>
      <c r="AE169">
        <v>0</v>
      </c>
    </row>
    <row r="170" spans="1:32" x14ac:dyDescent="0.3">
      <c r="A170" t="s">
        <v>414</v>
      </c>
      <c r="B170" s="17">
        <v>45973</v>
      </c>
      <c r="C170" s="6" t="s">
        <v>236</v>
      </c>
      <c r="D170" s="6" t="s">
        <v>241</v>
      </c>
      <c r="E170">
        <v>1</v>
      </c>
      <c r="F170">
        <v>1</v>
      </c>
      <c r="G170" s="1"/>
      <c r="H170" s="4">
        <v>0.52777777777777779</v>
      </c>
      <c r="I170" s="4">
        <v>0.53472222222222221</v>
      </c>
      <c r="J170" s="5">
        <v>17.600000000000001</v>
      </c>
      <c r="K170" s="5">
        <v>17.2</v>
      </c>
      <c r="L170" t="s">
        <v>56</v>
      </c>
      <c r="M170" t="s">
        <v>56</v>
      </c>
      <c r="N170" t="s">
        <v>26</v>
      </c>
      <c r="O170" s="2" t="s">
        <v>92</v>
      </c>
      <c r="P170" t="s">
        <v>28</v>
      </c>
      <c r="Q170" t="s">
        <v>28</v>
      </c>
      <c r="R170" s="1"/>
      <c r="S170">
        <v>0</v>
      </c>
      <c r="T170">
        <v>0</v>
      </c>
      <c r="U170">
        <v>1</v>
      </c>
      <c r="V170">
        <v>1</v>
      </c>
      <c r="W170">
        <v>0</v>
      </c>
      <c r="X170">
        <v>0</v>
      </c>
      <c r="Y170">
        <v>0</v>
      </c>
      <c r="Z170">
        <v>0</v>
      </c>
      <c r="AA170">
        <v>0</v>
      </c>
      <c r="AB170">
        <v>0</v>
      </c>
      <c r="AC170" t="s">
        <v>127</v>
      </c>
      <c r="AD170">
        <v>0</v>
      </c>
      <c r="AE170">
        <v>0</v>
      </c>
    </row>
    <row r="171" spans="1:32" x14ac:dyDescent="0.3">
      <c r="A171" t="s">
        <v>415</v>
      </c>
      <c r="B171" s="17">
        <v>45973</v>
      </c>
      <c r="C171" s="6" t="s">
        <v>236</v>
      </c>
      <c r="D171" s="6" t="s">
        <v>241</v>
      </c>
      <c r="E171">
        <v>1</v>
      </c>
      <c r="F171">
        <v>1</v>
      </c>
      <c r="G171" s="1"/>
      <c r="H171" s="4">
        <v>0.52847222222222223</v>
      </c>
      <c r="I171" s="4">
        <v>0.53611111111111109</v>
      </c>
      <c r="J171" s="5">
        <v>17.600000000000001</v>
      </c>
      <c r="K171" s="5">
        <v>17.2</v>
      </c>
      <c r="L171" t="s">
        <v>56</v>
      </c>
      <c r="M171" t="s">
        <v>56</v>
      </c>
      <c r="N171" t="s">
        <v>26</v>
      </c>
      <c r="O171" s="2" t="s">
        <v>92</v>
      </c>
      <c r="P171" t="s">
        <v>28</v>
      </c>
      <c r="Q171" t="s">
        <v>28</v>
      </c>
      <c r="R171" s="1"/>
      <c r="S171">
        <v>0</v>
      </c>
      <c r="T171">
        <v>0</v>
      </c>
      <c r="U171">
        <v>1</v>
      </c>
      <c r="V171">
        <v>1</v>
      </c>
      <c r="W171">
        <v>0</v>
      </c>
      <c r="X171">
        <v>0</v>
      </c>
      <c r="Y171">
        <v>0</v>
      </c>
      <c r="Z171">
        <v>1</v>
      </c>
      <c r="AA171">
        <v>0</v>
      </c>
      <c r="AB171">
        <v>1</v>
      </c>
      <c r="AD171">
        <v>0</v>
      </c>
      <c r="AE171">
        <v>0</v>
      </c>
    </row>
    <row r="172" spans="1:32" x14ac:dyDescent="0.3">
      <c r="A172" t="s">
        <v>416</v>
      </c>
      <c r="B172" s="17">
        <v>45968</v>
      </c>
      <c r="C172" s="6" t="s">
        <v>236</v>
      </c>
      <c r="D172" s="6">
        <v>8</v>
      </c>
      <c r="E172">
        <v>1</v>
      </c>
      <c r="F172">
        <v>1</v>
      </c>
      <c r="G172" s="1"/>
      <c r="H172" s="4">
        <v>0.52916666666666667</v>
      </c>
      <c r="I172" s="4">
        <v>0.53819444444444442</v>
      </c>
      <c r="J172" s="5">
        <v>26.1</v>
      </c>
      <c r="K172" s="5">
        <v>25.6</v>
      </c>
      <c r="L172" t="s">
        <v>30</v>
      </c>
      <c r="M172" t="s">
        <v>30</v>
      </c>
      <c r="N172" t="s">
        <v>35</v>
      </c>
      <c r="O172" s="2" t="s">
        <v>92</v>
      </c>
      <c r="P172" t="s">
        <v>28</v>
      </c>
      <c r="Q172" t="s">
        <v>28</v>
      </c>
      <c r="R172" s="1"/>
      <c r="S172">
        <v>1</v>
      </c>
      <c r="T172">
        <v>1</v>
      </c>
      <c r="U172">
        <v>1</v>
      </c>
      <c r="V172">
        <v>1</v>
      </c>
      <c r="W172">
        <v>0</v>
      </c>
      <c r="X172">
        <v>1</v>
      </c>
      <c r="Y172">
        <v>0</v>
      </c>
      <c r="Z172">
        <v>1</v>
      </c>
      <c r="AA172">
        <v>0</v>
      </c>
      <c r="AB172">
        <v>0</v>
      </c>
      <c r="AC172" t="s">
        <v>190</v>
      </c>
      <c r="AD172">
        <v>0</v>
      </c>
      <c r="AE172">
        <v>0</v>
      </c>
    </row>
    <row r="173" spans="1:32" x14ac:dyDescent="0.3">
      <c r="A173" t="s">
        <v>417</v>
      </c>
      <c r="B173" s="17">
        <v>45968</v>
      </c>
      <c r="C173" s="6" t="s">
        <v>236</v>
      </c>
      <c r="D173" s="6">
        <v>8</v>
      </c>
      <c r="E173">
        <v>1</v>
      </c>
      <c r="F173">
        <v>1</v>
      </c>
      <c r="G173" s="1"/>
      <c r="H173" s="4">
        <v>0.52916666666666667</v>
      </c>
      <c r="I173" s="4">
        <v>0.53819444444444442</v>
      </c>
      <c r="J173" s="5">
        <v>26.1</v>
      </c>
      <c r="K173" s="5">
        <v>25.6</v>
      </c>
      <c r="L173" t="s">
        <v>30</v>
      </c>
      <c r="M173" t="s">
        <v>30</v>
      </c>
      <c r="N173" t="s">
        <v>35</v>
      </c>
      <c r="O173" s="2" t="s">
        <v>92</v>
      </c>
      <c r="P173" t="s">
        <v>28</v>
      </c>
      <c r="Q173" t="s">
        <v>28</v>
      </c>
      <c r="R173" s="1"/>
      <c r="S173">
        <v>1</v>
      </c>
      <c r="T173">
        <v>0</v>
      </c>
      <c r="U173">
        <v>1</v>
      </c>
      <c r="V173">
        <v>1</v>
      </c>
      <c r="W173">
        <v>0</v>
      </c>
      <c r="X173">
        <v>0</v>
      </c>
      <c r="Y173">
        <v>0</v>
      </c>
      <c r="Z173">
        <v>1</v>
      </c>
      <c r="AA173">
        <v>0</v>
      </c>
      <c r="AB173">
        <v>0</v>
      </c>
      <c r="AC173" t="s">
        <v>135</v>
      </c>
      <c r="AD173">
        <v>0</v>
      </c>
      <c r="AE173">
        <v>0</v>
      </c>
    </row>
    <row r="174" spans="1:32" x14ac:dyDescent="0.3">
      <c r="A174" t="s">
        <v>418</v>
      </c>
      <c r="B174" s="17">
        <v>46008</v>
      </c>
      <c r="C174" s="6" t="s">
        <v>238</v>
      </c>
      <c r="D174" s="6">
        <v>9</v>
      </c>
      <c r="E174">
        <v>1</v>
      </c>
      <c r="F174">
        <v>2</v>
      </c>
      <c r="G174" s="1"/>
      <c r="H174" s="4">
        <v>0.52986111111111112</v>
      </c>
      <c r="I174" s="4">
        <v>0.53680555555555554</v>
      </c>
      <c r="J174" s="5">
        <v>28.4</v>
      </c>
      <c r="K174" s="5">
        <v>29.1</v>
      </c>
      <c r="L174" t="s">
        <v>56</v>
      </c>
      <c r="M174" t="s">
        <v>56</v>
      </c>
      <c r="N174" t="s">
        <v>35</v>
      </c>
      <c r="O174" t="s">
        <v>26</v>
      </c>
      <c r="P174" t="s">
        <v>28</v>
      </c>
      <c r="Q174" t="s">
        <v>28</v>
      </c>
      <c r="R174" s="1"/>
      <c r="S174">
        <v>1</v>
      </c>
      <c r="T174">
        <v>0</v>
      </c>
      <c r="U174">
        <v>0</v>
      </c>
      <c r="V174">
        <v>0</v>
      </c>
      <c r="W174">
        <v>0</v>
      </c>
      <c r="X174">
        <v>0</v>
      </c>
      <c r="Y174">
        <v>0</v>
      </c>
      <c r="Z174">
        <v>1</v>
      </c>
      <c r="AA174">
        <v>1</v>
      </c>
      <c r="AB174">
        <v>1</v>
      </c>
      <c r="AC174" t="s">
        <v>59</v>
      </c>
      <c r="AD174">
        <v>0</v>
      </c>
      <c r="AE174">
        <v>0</v>
      </c>
    </row>
    <row r="175" spans="1:32" x14ac:dyDescent="0.3">
      <c r="A175" t="s">
        <v>419</v>
      </c>
      <c r="B175" s="17">
        <v>45995</v>
      </c>
      <c r="C175" s="6" t="s">
        <v>238</v>
      </c>
      <c r="D175" s="6">
        <v>1</v>
      </c>
      <c r="E175">
        <v>1</v>
      </c>
      <c r="F175">
        <v>2</v>
      </c>
      <c r="G175" s="1"/>
      <c r="H175" s="4">
        <v>0.53194444444444444</v>
      </c>
      <c r="I175" s="4">
        <v>0.53888888888888886</v>
      </c>
      <c r="J175" s="5">
        <v>28.4</v>
      </c>
      <c r="K175" s="5">
        <v>29.1</v>
      </c>
      <c r="L175" t="s">
        <v>56</v>
      </c>
      <c r="M175" t="s">
        <v>56</v>
      </c>
      <c r="N175" t="s">
        <v>35</v>
      </c>
      <c r="O175" t="s">
        <v>35</v>
      </c>
      <c r="P175" t="s">
        <v>28</v>
      </c>
      <c r="Q175" t="s">
        <v>28</v>
      </c>
      <c r="R175" s="1"/>
      <c r="S175">
        <v>1</v>
      </c>
      <c r="T175">
        <v>0</v>
      </c>
      <c r="U175">
        <v>1</v>
      </c>
      <c r="V175">
        <v>0</v>
      </c>
      <c r="W175">
        <v>0</v>
      </c>
      <c r="X175">
        <v>0</v>
      </c>
      <c r="Y175">
        <v>0</v>
      </c>
      <c r="Z175">
        <v>1</v>
      </c>
      <c r="AA175">
        <v>1</v>
      </c>
      <c r="AB175">
        <v>1</v>
      </c>
      <c r="AD175">
        <v>0</v>
      </c>
      <c r="AE175">
        <v>0</v>
      </c>
      <c r="AF175" t="s">
        <v>72</v>
      </c>
    </row>
    <row r="176" spans="1:32" x14ac:dyDescent="0.3">
      <c r="A176" t="s">
        <v>420</v>
      </c>
      <c r="B176" s="17">
        <v>45995</v>
      </c>
      <c r="C176" s="6" t="s">
        <v>238</v>
      </c>
      <c r="D176" s="6">
        <v>1</v>
      </c>
      <c r="E176">
        <v>2</v>
      </c>
      <c r="F176">
        <v>1</v>
      </c>
      <c r="G176" s="1"/>
      <c r="H176" s="4">
        <v>0.53263888888888888</v>
      </c>
      <c r="I176" s="4">
        <v>0.5395833333333333</v>
      </c>
      <c r="J176" s="5">
        <v>28.4</v>
      </c>
      <c r="K176" s="5">
        <v>29.1</v>
      </c>
      <c r="L176" t="s">
        <v>56</v>
      </c>
      <c r="M176" t="s">
        <v>56</v>
      </c>
      <c r="N176" t="s">
        <v>35</v>
      </c>
      <c r="O176" t="s">
        <v>35</v>
      </c>
      <c r="P176" t="s">
        <v>28</v>
      </c>
      <c r="Q176" t="s">
        <v>28</v>
      </c>
      <c r="R176" s="1"/>
      <c r="S176">
        <v>1</v>
      </c>
      <c r="T176">
        <v>0</v>
      </c>
      <c r="U176">
        <v>1</v>
      </c>
      <c r="V176">
        <v>1</v>
      </c>
      <c r="W176">
        <v>0</v>
      </c>
      <c r="X176">
        <v>0</v>
      </c>
      <c r="Y176">
        <v>0</v>
      </c>
      <c r="Z176">
        <v>1</v>
      </c>
      <c r="AA176">
        <v>1</v>
      </c>
      <c r="AB176">
        <v>0</v>
      </c>
      <c r="AC176" t="s">
        <v>38</v>
      </c>
      <c r="AD176">
        <v>1</v>
      </c>
      <c r="AE176">
        <v>0</v>
      </c>
      <c r="AF176" t="s">
        <v>231</v>
      </c>
    </row>
    <row r="177" spans="1:32" x14ac:dyDescent="0.3">
      <c r="A177" t="s">
        <v>421</v>
      </c>
      <c r="B177" s="17">
        <v>46000</v>
      </c>
      <c r="C177" s="6" t="s">
        <v>238</v>
      </c>
      <c r="D177" s="6">
        <v>8</v>
      </c>
      <c r="E177">
        <v>2</v>
      </c>
      <c r="F177">
        <v>1</v>
      </c>
      <c r="G177" s="1"/>
      <c r="H177" s="4">
        <v>0.53541666666666665</v>
      </c>
      <c r="I177" s="4">
        <v>0.54236111111111107</v>
      </c>
      <c r="J177" s="5">
        <v>30.3</v>
      </c>
      <c r="K177" s="5">
        <v>30.8</v>
      </c>
      <c r="L177" t="s">
        <v>56</v>
      </c>
      <c r="M177" t="s">
        <v>56</v>
      </c>
      <c r="N177" t="s">
        <v>26</v>
      </c>
      <c r="O177" t="s">
        <v>26</v>
      </c>
      <c r="P177" t="s">
        <v>28</v>
      </c>
      <c r="Q177" t="s">
        <v>28</v>
      </c>
      <c r="R177" s="1"/>
      <c r="S177">
        <v>1</v>
      </c>
      <c r="T177">
        <v>1</v>
      </c>
      <c r="U177">
        <v>0</v>
      </c>
      <c r="V177">
        <v>1</v>
      </c>
      <c r="W177">
        <v>0</v>
      </c>
      <c r="X177">
        <v>0</v>
      </c>
      <c r="Y177">
        <v>0</v>
      </c>
      <c r="Z177">
        <v>1</v>
      </c>
      <c r="AA177">
        <v>0</v>
      </c>
      <c r="AB177">
        <v>1</v>
      </c>
      <c r="AD177">
        <v>1</v>
      </c>
      <c r="AE177">
        <v>0</v>
      </c>
      <c r="AF177" t="s">
        <v>178</v>
      </c>
    </row>
    <row r="178" spans="1:32" x14ac:dyDescent="0.3">
      <c r="A178" t="s">
        <v>422</v>
      </c>
      <c r="B178" s="17">
        <v>45964</v>
      </c>
      <c r="C178" s="6" t="s">
        <v>236</v>
      </c>
      <c r="D178" s="6">
        <v>2</v>
      </c>
      <c r="E178">
        <v>1</v>
      </c>
      <c r="F178">
        <v>1</v>
      </c>
      <c r="G178" s="1"/>
      <c r="H178" s="4">
        <v>0.53680555555555554</v>
      </c>
      <c r="I178" s="4">
        <v>0.5444444444444444</v>
      </c>
      <c r="J178" s="5">
        <v>25.8</v>
      </c>
      <c r="K178" s="5">
        <v>24.4</v>
      </c>
      <c r="L178" t="s">
        <v>25</v>
      </c>
      <c r="M178" s="2" t="s">
        <v>92</v>
      </c>
      <c r="N178" t="s">
        <v>35</v>
      </c>
      <c r="O178" s="2" t="s">
        <v>92</v>
      </c>
      <c r="P178" s="2" t="s">
        <v>92</v>
      </c>
      <c r="Q178" s="2" t="s">
        <v>92</v>
      </c>
      <c r="R178" s="1"/>
      <c r="S178">
        <v>0</v>
      </c>
      <c r="T178">
        <v>0</v>
      </c>
      <c r="U178">
        <v>1</v>
      </c>
      <c r="V178">
        <v>1</v>
      </c>
      <c r="W178">
        <v>0</v>
      </c>
      <c r="X178">
        <v>0</v>
      </c>
      <c r="Y178">
        <v>0</v>
      </c>
      <c r="Z178" s="2">
        <v>1</v>
      </c>
      <c r="AA178" s="2">
        <v>1</v>
      </c>
      <c r="AB178" s="2">
        <v>1</v>
      </c>
      <c r="AD178">
        <v>0</v>
      </c>
      <c r="AE178">
        <v>0</v>
      </c>
    </row>
    <row r="179" spans="1:32" x14ac:dyDescent="0.3">
      <c r="A179" t="s">
        <v>423</v>
      </c>
      <c r="B179" s="17">
        <v>45964</v>
      </c>
      <c r="C179" s="6" t="s">
        <v>236</v>
      </c>
      <c r="D179" s="6">
        <v>2</v>
      </c>
      <c r="E179">
        <v>1</v>
      </c>
      <c r="F179">
        <v>1</v>
      </c>
      <c r="G179" s="1"/>
      <c r="H179" s="4">
        <v>0.53680555555555554</v>
      </c>
      <c r="I179" s="4">
        <v>0.5444444444444444</v>
      </c>
      <c r="J179" s="5">
        <v>25.8</v>
      </c>
      <c r="K179" s="5">
        <v>24.4</v>
      </c>
      <c r="L179" t="s">
        <v>25</v>
      </c>
      <c r="M179" s="2" t="s">
        <v>92</v>
      </c>
      <c r="N179" t="s">
        <v>35</v>
      </c>
      <c r="O179" s="2" t="s">
        <v>92</v>
      </c>
      <c r="P179" s="2" t="s">
        <v>92</v>
      </c>
      <c r="Q179" s="2" t="s">
        <v>92</v>
      </c>
      <c r="R179" s="1"/>
      <c r="S179">
        <v>0</v>
      </c>
      <c r="T179">
        <v>1</v>
      </c>
      <c r="U179">
        <v>1</v>
      </c>
      <c r="V179">
        <v>0</v>
      </c>
      <c r="W179">
        <v>0</v>
      </c>
      <c r="X179">
        <v>0</v>
      </c>
      <c r="Y179">
        <v>0</v>
      </c>
      <c r="Z179">
        <v>0</v>
      </c>
      <c r="AA179">
        <v>0</v>
      </c>
      <c r="AB179">
        <v>1</v>
      </c>
      <c r="AC179" t="s">
        <v>151</v>
      </c>
      <c r="AD179">
        <v>0</v>
      </c>
      <c r="AE179">
        <v>0</v>
      </c>
      <c r="AF179" s="2" t="s">
        <v>152</v>
      </c>
    </row>
    <row r="180" spans="1:32" x14ac:dyDescent="0.3">
      <c r="A180" t="s">
        <v>424</v>
      </c>
      <c r="B180" s="17">
        <v>45973</v>
      </c>
      <c r="C180" s="6" t="s">
        <v>236</v>
      </c>
      <c r="D180" s="6" t="s">
        <v>241</v>
      </c>
      <c r="E180">
        <v>1</v>
      </c>
      <c r="F180">
        <v>2</v>
      </c>
      <c r="G180" s="1"/>
      <c r="H180" s="4">
        <v>0.53819444444444442</v>
      </c>
      <c r="I180" s="4">
        <v>0.54513888888888884</v>
      </c>
      <c r="J180" s="5">
        <v>17.2</v>
      </c>
      <c r="K180" s="5">
        <v>18.100000000000001</v>
      </c>
      <c r="L180" t="s">
        <v>56</v>
      </c>
      <c r="M180" t="s">
        <v>56</v>
      </c>
      <c r="N180" t="s">
        <v>35</v>
      </c>
      <c r="O180" s="2" t="s">
        <v>92</v>
      </c>
      <c r="P180" t="s">
        <v>28</v>
      </c>
      <c r="Q180" t="s">
        <v>28</v>
      </c>
      <c r="R180" s="1"/>
      <c r="S180">
        <v>0</v>
      </c>
      <c r="T180">
        <v>0</v>
      </c>
      <c r="U180">
        <v>1</v>
      </c>
      <c r="V180">
        <v>1</v>
      </c>
      <c r="W180">
        <v>0</v>
      </c>
      <c r="X180">
        <v>0</v>
      </c>
      <c r="Y180">
        <v>0</v>
      </c>
      <c r="Z180">
        <v>1</v>
      </c>
      <c r="AA180">
        <v>1</v>
      </c>
      <c r="AB180">
        <v>0</v>
      </c>
      <c r="AC180" t="s">
        <v>51</v>
      </c>
      <c r="AD180">
        <v>0</v>
      </c>
      <c r="AE180">
        <v>0</v>
      </c>
    </row>
    <row r="181" spans="1:32" x14ac:dyDescent="0.3">
      <c r="A181" t="s">
        <v>425</v>
      </c>
      <c r="B181" s="17">
        <v>45973</v>
      </c>
      <c r="C181" s="6" t="s">
        <v>236</v>
      </c>
      <c r="D181" s="6" t="s">
        <v>241</v>
      </c>
      <c r="E181">
        <v>1</v>
      </c>
      <c r="F181">
        <v>2</v>
      </c>
      <c r="G181" s="1"/>
      <c r="H181" s="4">
        <v>0.53819444444444442</v>
      </c>
      <c r="I181" s="4">
        <v>0.54513888888888884</v>
      </c>
      <c r="J181" s="5">
        <v>17.2</v>
      </c>
      <c r="K181" s="5">
        <v>18.100000000000001</v>
      </c>
      <c r="L181" t="s">
        <v>56</v>
      </c>
      <c r="M181" t="s">
        <v>56</v>
      </c>
      <c r="N181" t="s">
        <v>35</v>
      </c>
      <c r="O181" s="2" t="s">
        <v>92</v>
      </c>
      <c r="P181" t="s">
        <v>28</v>
      </c>
      <c r="Q181" t="s">
        <v>28</v>
      </c>
      <c r="R181" s="1"/>
      <c r="S181">
        <v>0</v>
      </c>
      <c r="T181">
        <v>0</v>
      </c>
      <c r="U181">
        <v>1</v>
      </c>
      <c r="V181">
        <v>1</v>
      </c>
      <c r="W181">
        <v>0</v>
      </c>
      <c r="X181">
        <v>0</v>
      </c>
      <c r="Y181">
        <v>0</v>
      </c>
      <c r="Z181">
        <v>1</v>
      </c>
      <c r="AA181">
        <v>1</v>
      </c>
      <c r="AB181">
        <v>1</v>
      </c>
      <c r="AD181">
        <v>0</v>
      </c>
      <c r="AE181">
        <v>0</v>
      </c>
    </row>
    <row r="182" spans="1:32" x14ac:dyDescent="0.3">
      <c r="A182" t="s">
        <v>426</v>
      </c>
      <c r="B182" s="17">
        <v>46001</v>
      </c>
      <c r="C182" s="6" t="s">
        <v>238</v>
      </c>
      <c r="D182" s="6">
        <v>9</v>
      </c>
      <c r="E182">
        <v>1</v>
      </c>
      <c r="F182">
        <v>1</v>
      </c>
      <c r="G182" s="1"/>
      <c r="H182" s="4">
        <v>0.53888888888888886</v>
      </c>
      <c r="I182" s="4">
        <v>0.54583333333333328</v>
      </c>
      <c r="J182" s="5">
        <v>24.6</v>
      </c>
      <c r="K182" s="5">
        <v>25.7</v>
      </c>
      <c r="L182" t="s">
        <v>50</v>
      </c>
      <c r="M182" t="s">
        <v>50</v>
      </c>
      <c r="N182" t="s">
        <v>37</v>
      </c>
      <c r="O182" t="s">
        <v>26</v>
      </c>
      <c r="P182" t="s">
        <v>28</v>
      </c>
      <c r="Q182" t="s">
        <v>28</v>
      </c>
      <c r="R182" s="1"/>
      <c r="S182">
        <v>1</v>
      </c>
      <c r="T182">
        <v>0</v>
      </c>
      <c r="U182">
        <v>0</v>
      </c>
      <c r="V182">
        <v>1</v>
      </c>
      <c r="W182">
        <v>0</v>
      </c>
      <c r="X182">
        <v>0</v>
      </c>
      <c r="Y182">
        <v>0</v>
      </c>
      <c r="Z182">
        <v>1</v>
      </c>
      <c r="AA182">
        <v>1</v>
      </c>
      <c r="AB182">
        <v>0</v>
      </c>
      <c r="AD182">
        <v>1</v>
      </c>
      <c r="AE182">
        <v>0</v>
      </c>
      <c r="AF182" t="s">
        <v>180</v>
      </c>
    </row>
    <row r="183" spans="1:32" x14ac:dyDescent="0.3">
      <c r="A183" t="s">
        <v>427</v>
      </c>
      <c r="B183" s="17">
        <v>46001</v>
      </c>
      <c r="C183" s="6" t="s">
        <v>238</v>
      </c>
      <c r="D183" s="6">
        <v>9</v>
      </c>
      <c r="E183">
        <v>1</v>
      </c>
      <c r="F183">
        <v>1</v>
      </c>
      <c r="G183" s="1"/>
      <c r="H183" s="4">
        <v>0.53888888888888886</v>
      </c>
      <c r="I183" s="4">
        <v>0.54583333333333328</v>
      </c>
      <c r="J183" s="5">
        <v>24.6</v>
      </c>
      <c r="K183" s="5">
        <v>25.7</v>
      </c>
      <c r="L183" t="s">
        <v>50</v>
      </c>
      <c r="M183" t="s">
        <v>50</v>
      </c>
      <c r="N183" t="s">
        <v>37</v>
      </c>
      <c r="O183" t="s">
        <v>37</v>
      </c>
      <c r="P183" t="s">
        <v>28</v>
      </c>
      <c r="Q183" t="s">
        <v>28</v>
      </c>
      <c r="R183" s="1"/>
      <c r="S183">
        <v>1</v>
      </c>
      <c r="T183">
        <v>0</v>
      </c>
      <c r="U183">
        <v>0</v>
      </c>
      <c r="V183">
        <v>1</v>
      </c>
      <c r="W183">
        <v>0</v>
      </c>
      <c r="X183">
        <v>0</v>
      </c>
      <c r="Y183">
        <v>0</v>
      </c>
      <c r="Z183">
        <v>1</v>
      </c>
      <c r="AA183">
        <v>1</v>
      </c>
      <c r="AB183">
        <v>0</v>
      </c>
      <c r="AC183" t="s">
        <v>59</v>
      </c>
      <c r="AD183">
        <v>0</v>
      </c>
      <c r="AE183">
        <v>0</v>
      </c>
    </row>
    <row r="184" spans="1:32" x14ac:dyDescent="0.3">
      <c r="A184" t="s">
        <v>428</v>
      </c>
      <c r="B184" s="17">
        <v>45968</v>
      </c>
      <c r="C184" s="6" t="s">
        <v>236</v>
      </c>
      <c r="D184" s="6">
        <v>8</v>
      </c>
      <c r="E184">
        <v>1</v>
      </c>
      <c r="F184">
        <v>2</v>
      </c>
      <c r="G184" s="1"/>
      <c r="H184" s="4">
        <v>0.5395833333333333</v>
      </c>
      <c r="I184" s="4">
        <v>0.54652777777777772</v>
      </c>
      <c r="J184" s="5">
        <v>25.6</v>
      </c>
      <c r="K184" s="5">
        <v>25.7</v>
      </c>
      <c r="L184" t="s">
        <v>27</v>
      </c>
      <c r="M184" t="s">
        <v>27</v>
      </c>
      <c r="N184" t="s">
        <v>35</v>
      </c>
      <c r="O184" s="2" t="s">
        <v>92</v>
      </c>
      <c r="P184" t="s">
        <v>28</v>
      </c>
      <c r="Q184" t="s">
        <v>28</v>
      </c>
      <c r="R184" s="1"/>
      <c r="S184">
        <v>1</v>
      </c>
      <c r="T184">
        <v>0</v>
      </c>
      <c r="U184">
        <v>1</v>
      </c>
      <c r="V184">
        <v>1</v>
      </c>
      <c r="W184">
        <v>0</v>
      </c>
      <c r="X184">
        <v>0</v>
      </c>
      <c r="Y184">
        <v>0</v>
      </c>
      <c r="Z184">
        <v>1</v>
      </c>
      <c r="AA184">
        <v>1</v>
      </c>
      <c r="AB184">
        <v>0</v>
      </c>
      <c r="AC184" t="s">
        <v>194</v>
      </c>
      <c r="AD184">
        <v>0</v>
      </c>
      <c r="AE184">
        <v>0</v>
      </c>
    </row>
    <row r="185" spans="1:32" x14ac:dyDescent="0.3">
      <c r="A185" t="s">
        <v>429</v>
      </c>
      <c r="B185" s="17">
        <v>45968</v>
      </c>
      <c r="C185" s="6" t="s">
        <v>236</v>
      </c>
      <c r="D185" s="6">
        <v>8</v>
      </c>
      <c r="E185">
        <v>1</v>
      </c>
      <c r="F185">
        <v>2</v>
      </c>
      <c r="G185" s="1"/>
      <c r="H185" s="4">
        <v>0.5395833333333333</v>
      </c>
      <c r="I185" s="4">
        <v>0.54722222222222228</v>
      </c>
      <c r="J185" s="5">
        <v>25.6</v>
      </c>
      <c r="K185" s="5">
        <v>25.7</v>
      </c>
      <c r="L185" t="s">
        <v>30</v>
      </c>
      <c r="M185" t="s">
        <v>27</v>
      </c>
      <c r="N185" t="s">
        <v>35</v>
      </c>
      <c r="O185" s="2" t="s">
        <v>92</v>
      </c>
      <c r="P185" t="s">
        <v>28</v>
      </c>
      <c r="Q185" t="s">
        <v>28</v>
      </c>
      <c r="R185" s="1"/>
      <c r="S185">
        <v>0</v>
      </c>
      <c r="T185">
        <v>0</v>
      </c>
      <c r="U185">
        <v>1</v>
      </c>
      <c r="V185">
        <v>1</v>
      </c>
      <c r="W185">
        <v>0</v>
      </c>
      <c r="X185">
        <v>0</v>
      </c>
      <c r="Y185">
        <v>0</v>
      </c>
      <c r="Z185">
        <v>1</v>
      </c>
      <c r="AA185">
        <v>1</v>
      </c>
      <c r="AB185">
        <v>0</v>
      </c>
      <c r="AC185" t="s">
        <v>128</v>
      </c>
      <c r="AD185">
        <v>0</v>
      </c>
      <c r="AE185">
        <v>0</v>
      </c>
    </row>
    <row r="186" spans="1:32" x14ac:dyDescent="0.3">
      <c r="A186" t="s">
        <v>430</v>
      </c>
      <c r="B186" s="17">
        <v>45981</v>
      </c>
      <c r="C186" s="6" t="s">
        <v>238</v>
      </c>
      <c r="D186" s="6">
        <v>3</v>
      </c>
      <c r="E186">
        <v>1</v>
      </c>
      <c r="F186">
        <v>1</v>
      </c>
      <c r="G186" s="1"/>
      <c r="H186" s="4">
        <v>0.5395833333333333</v>
      </c>
      <c r="I186" s="4">
        <v>0.54722222222222228</v>
      </c>
      <c r="J186" s="5">
        <v>27.7</v>
      </c>
      <c r="K186" s="5">
        <v>28</v>
      </c>
      <c r="L186" t="s">
        <v>30</v>
      </c>
      <c r="M186" t="s">
        <v>50</v>
      </c>
      <c r="N186" t="s">
        <v>26</v>
      </c>
      <c r="O186" s="2" t="s">
        <v>92</v>
      </c>
      <c r="P186" t="s">
        <v>28</v>
      </c>
      <c r="Q186" t="s">
        <v>28</v>
      </c>
      <c r="R186" s="1"/>
      <c r="S186">
        <v>1</v>
      </c>
      <c r="T186">
        <v>0</v>
      </c>
      <c r="U186">
        <v>1</v>
      </c>
      <c r="V186">
        <v>1</v>
      </c>
      <c r="W186">
        <v>0</v>
      </c>
      <c r="X186">
        <v>0</v>
      </c>
      <c r="Y186">
        <v>0</v>
      </c>
      <c r="Z186">
        <v>1</v>
      </c>
      <c r="AA186">
        <v>1</v>
      </c>
      <c r="AB186">
        <v>1</v>
      </c>
      <c r="AC186" t="s">
        <v>113</v>
      </c>
      <c r="AD186">
        <v>2</v>
      </c>
      <c r="AE186">
        <v>0</v>
      </c>
    </row>
    <row r="187" spans="1:32" x14ac:dyDescent="0.3">
      <c r="A187" t="s">
        <v>431</v>
      </c>
      <c r="B187" s="20" t="s">
        <v>105</v>
      </c>
      <c r="C187" s="6" t="s">
        <v>238</v>
      </c>
      <c r="D187" s="6">
        <v>3</v>
      </c>
      <c r="E187">
        <v>1</v>
      </c>
      <c r="F187">
        <v>1</v>
      </c>
      <c r="G187" s="1"/>
      <c r="H187" s="4">
        <v>0.5395833333333333</v>
      </c>
      <c r="I187" s="4">
        <v>0.54722222222222228</v>
      </c>
      <c r="J187" s="5">
        <v>27.7</v>
      </c>
      <c r="K187" s="5">
        <v>28</v>
      </c>
      <c r="L187" t="s">
        <v>30</v>
      </c>
      <c r="M187" t="s">
        <v>50</v>
      </c>
      <c r="N187" t="s">
        <v>37</v>
      </c>
      <c r="O187" s="2" t="s">
        <v>92</v>
      </c>
      <c r="P187" t="s">
        <v>28</v>
      </c>
      <c r="Q187" t="s">
        <v>28</v>
      </c>
      <c r="R187" s="1"/>
      <c r="S187">
        <v>1</v>
      </c>
      <c r="T187">
        <v>0</v>
      </c>
      <c r="U187">
        <v>1</v>
      </c>
      <c r="V187">
        <v>1</v>
      </c>
      <c r="W187">
        <v>1</v>
      </c>
      <c r="X187">
        <v>1</v>
      </c>
      <c r="Y187">
        <v>0</v>
      </c>
      <c r="Z187">
        <v>1</v>
      </c>
      <c r="AA187">
        <v>1</v>
      </c>
      <c r="AB187">
        <v>1</v>
      </c>
      <c r="AC187" t="s">
        <v>107</v>
      </c>
      <c r="AD187">
        <v>0</v>
      </c>
      <c r="AE187">
        <v>0</v>
      </c>
    </row>
    <row r="188" spans="1:32" x14ac:dyDescent="0.3">
      <c r="A188" t="s">
        <v>432</v>
      </c>
      <c r="B188" s="17">
        <v>45967</v>
      </c>
      <c r="C188" s="6" t="s">
        <v>236</v>
      </c>
      <c r="D188" s="6">
        <v>5</v>
      </c>
      <c r="E188">
        <v>1</v>
      </c>
      <c r="F188">
        <v>1</v>
      </c>
      <c r="G188" s="1"/>
      <c r="H188" s="4">
        <v>0.54305555555555551</v>
      </c>
      <c r="I188" s="4">
        <v>0.55138888888888893</v>
      </c>
      <c r="J188" s="5">
        <v>20.9</v>
      </c>
      <c r="K188" s="5">
        <v>21.2</v>
      </c>
      <c r="L188" t="s">
        <v>50</v>
      </c>
      <c r="M188" t="s">
        <v>50</v>
      </c>
      <c r="N188" t="s">
        <v>26</v>
      </c>
      <c r="O188" s="2" t="s">
        <v>92</v>
      </c>
      <c r="P188" s="2" t="s">
        <v>92</v>
      </c>
      <c r="Q188" s="2" t="s">
        <v>92</v>
      </c>
      <c r="R188" s="1"/>
      <c r="S188">
        <v>1</v>
      </c>
      <c r="T188">
        <v>0</v>
      </c>
      <c r="U188">
        <v>1</v>
      </c>
      <c r="V188">
        <v>0</v>
      </c>
      <c r="W188">
        <v>0</v>
      </c>
      <c r="X188">
        <v>0</v>
      </c>
      <c r="Y188">
        <v>0</v>
      </c>
      <c r="Z188">
        <v>1</v>
      </c>
      <c r="AA188">
        <v>1</v>
      </c>
      <c r="AB188">
        <v>0</v>
      </c>
      <c r="AD188">
        <v>0</v>
      </c>
      <c r="AE188">
        <v>0</v>
      </c>
    </row>
    <row r="189" spans="1:32" x14ac:dyDescent="0.3">
      <c r="A189" t="s">
        <v>433</v>
      </c>
      <c r="B189" s="17">
        <v>45967</v>
      </c>
      <c r="C189" s="6" t="s">
        <v>236</v>
      </c>
      <c r="D189" s="6">
        <v>5</v>
      </c>
      <c r="E189">
        <v>1</v>
      </c>
      <c r="F189">
        <v>1</v>
      </c>
      <c r="G189" s="1"/>
      <c r="H189" s="4">
        <v>0.54305555555555551</v>
      </c>
      <c r="I189" s="4">
        <v>0.55138888888888893</v>
      </c>
      <c r="J189" s="5">
        <v>20.9</v>
      </c>
      <c r="K189" s="5">
        <v>21.2</v>
      </c>
      <c r="L189" t="s">
        <v>50</v>
      </c>
      <c r="M189" t="s">
        <v>50</v>
      </c>
      <c r="N189" t="s">
        <v>26</v>
      </c>
      <c r="O189" s="2" t="s">
        <v>92</v>
      </c>
      <c r="P189" s="2" t="s">
        <v>92</v>
      </c>
      <c r="Q189" s="2" t="s">
        <v>92</v>
      </c>
      <c r="R189" s="1"/>
      <c r="S189">
        <v>0</v>
      </c>
      <c r="T189">
        <v>0</v>
      </c>
      <c r="U189">
        <v>1</v>
      </c>
      <c r="V189">
        <v>1</v>
      </c>
      <c r="W189">
        <v>0</v>
      </c>
      <c r="X189">
        <v>0</v>
      </c>
      <c r="Y189">
        <v>0</v>
      </c>
      <c r="Z189">
        <v>1</v>
      </c>
      <c r="AA189">
        <v>1</v>
      </c>
      <c r="AB189">
        <v>0</v>
      </c>
      <c r="AC189" t="s">
        <v>29</v>
      </c>
      <c r="AD189">
        <v>0</v>
      </c>
      <c r="AE189">
        <v>0</v>
      </c>
    </row>
    <row r="190" spans="1:32" x14ac:dyDescent="0.3">
      <c r="A190" t="s">
        <v>434</v>
      </c>
      <c r="B190" s="17">
        <v>46007</v>
      </c>
      <c r="C190" s="6" t="s">
        <v>237</v>
      </c>
      <c r="D190" s="6">
        <v>2</v>
      </c>
      <c r="E190">
        <v>1</v>
      </c>
      <c r="F190">
        <v>1</v>
      </c>
      <c r="G190" s="1"/>
      <c r="H190" s="4">
        <v>0.5444444444444444</v>
      </c>
      <c r="I190" s="4">
        <v>0.55138888888888893</v>
      </c>
      <c r="J190" s="5">
        <v>21.7</v>
      </c>
      <c r="K190" s="5">
        <v>22.7</v>
      </c>
      <c r="L190" t="s">
        <v>32</v>
      </c>
      <c r="M190" t="s">
        <v>32</v>
      </c>
      <c r="N190" t="s">
        <v>26</v>
      </c>
      <c r="O190" t="s">
        <v>26</v>
      </c>
      <c r="P190" t="s">
        <v>28</v>
      </c>
      <c r="Q190" t="s">
        <v>28</v>
      </c>
      <c r="R190" s="1"/>
      <c r="S190">
        <v>0</v>
      </c>
      <c r="T190">
        <v>1</v>
      </c>
      <c r="U190">
        <v>0</v>
      </c>
      <c r="V190">
        <v>1</v>
      </c>
      <c r="W190">
        <v>1</v>
      </c>
      <c r="X190">
        <v>0</v>
      </c>
      <c r="Y190">
        <v>0</v>
      </c>
      <c r="Z190">
        <v>1</v>
      </c>
      <c r="AA190">
        <v>1</v>
      </c>
      <c r="AB190">
        <v>1</v>
      </c>
      <c r="AC190" t="s">
        <v>182</v>
      </c>
      <c r="AD190">
        <v>1</v>
      </c>
      <c r="AE190">
        <v>0</v>
      </c>
    </row>
    <row r="191" spans="1:32" x14ac:dyDescent="0.3">
      <c r="A191" t="s">
        <v>435</v>
      </c>
      <c r="B191" s="17">
        <v>45989</v>
      </c>
      <c r="C191" s="6" t="s">
        <v>236</v>
      </c>
      <c r="D191" s="6">
        <v>2</v>
      </c>
      <c r="E191">
        <v>1</v>
      </c>
      <c r="F191">
        <v>1</v>
      </c>
      <c r="G191" s="1"/>
      <c r="H191" s="4">
        <v>0.54513888888888884</v>
      </c>
      <c r="I191" s="4">
        <v>0.55208333333333337</v>
      </c>
      <c r="J191" s="5">
        <v>24.5</v>
      </c>
      <c r="K191" s="5">
        <v>24.3</v>
      </c>
      <c r="L191" t="s">
        <v>30</v>
      </c>
      <c r="M191" t="s">
        <v>30</v>
      </c>
      <c r="N191" t="s">
        <v>68</v>
      </c>
      <c r="O191" s="2" t="s">
        <v>92</v>
      </c>
      <c r="P191" t="s">
        <v>28</v>
      </c>
      <c r="Q191" t="s">
        <v>28</v>
      </c>
      <c r="R191" s="1"/>
      <c r="S191">
        <v>1</v>
      </c>
      <c r="T191">
        <v>1</v>
      </c>
      <c r="U191">
        <v>0</v>
      </c>
      <c r="V191">
        <v>1</v>
      </c>
      <c r="W191">
        <v>0</v>
      </c>
      <c r="X191">
        <v>0</v>
      </c>
      <c r="Y191">
        <v>1</v>
      </c>
      <c r="Z191">
        <v>1</v>
      </c>
      <c r="AA191">
        <v>0</v>
      </c>
      <c r="AB191">
        <v>1</v>
      </c>
      <c r="AC191" t="s">
        <v>59</v>
      </c>
      <c r="AD191">
        <v>4</v>
      </c>
      <c r="AE191">
        <v>0</v>
      </c>
    </row>
    <row r="192" spans="1:32" x14ac:dyDescent="0.3">
      <c r="A192" t="s">
        <v>436</v>
      </c>
      <c r="B192" s="17">
        <v>45989</v>
      </c>
      <c r="C192" s="6" t="s">
        <v>236</v>
      </c>
      <c r="D192" s="6">
        <v>2</v>
      </c>
      <c r="E192">
        <v>1</v>
      </c>
      <c r="F192">
        <v>1</v>
      </c>
      <c r="G192" s="1"/>
      <c r="H192" s="4">
        <v>0.54513888888888884</v>
      </c>
      <c r="I192" s="4">
        <v>0.55277777777777781</v>
      </c>
      <c r="J192" s="5">
        <v>24.5</v>
      </c>
      <c r="K192" s="5">
        <v>24.3</v>
      </c>
      <c r="L192" t="s">
        <v>30</v>
      </c>
      <c r="M192" t="s">
        <v>30</v>
      </c>
      <c r="N192" t="s">
        <v>68</v>
      </c>
      <c r="O192" s="2" t="s">
        <v>92</v>
      </c>
      <c r="P192" t="s">
        <v>28</v>
      </c>
      <c r="Q192" t="s">
        <v>28</v>
      </c>
      <c r="R192" s="1"/>
      <c r="S192">
        <v>1</v>
      </c>
      <c r="T192">
        <v>0</v>
      </c>
      <c r="U192">
        <v>0</v>
      </c>
      <c r="V192">
        <v>0</v>
      </c>
      <c r="W192">
        <v>0</v>
      </c>
      <c r="X192">
        <v>0</v>
      </c>
      <c r="Y192">
        <v>0</v>
      </c>
      <c r="Z192">
        <v>1</v>
      </c>
      <c r="AA192">
        <v>1</v>
      </c>
      <c r="AB192">
        <v>0</v>
      </c>
      <c r="AC192" t="s">
        <v>59</v>
      </c>
      <c r="AD192">
        <v>1</v>
      </c>
      <c r="AE192">
        <v>0</v>
      </c>
    </row>
    <row r="193" spans="1:33" x14ac:dyDescent="0.3">
      <c r="A193" t="s">
        <v>437</v>
      </c>
      <c r="B193" s="17">
        <v>45997</v>
      </c>
      <c r="C193" s="6" t="s">
        <v>236</v>
      </c>
      <c r="D193" s="6">
        <v>1</v>
      </c>
      <c r="E193">
        <v>2</v>
      </c>
      <c r="F193">
        <v>1</v>
      </c>
      <c r="G193" s="1"/>
      <c r="H193" s="4">
        <v>0.54652777777777772</v>
      </c>
      <c r="I193" s="8" t="s">
        <v>92</v>
      </c>
      <c r="J193" s="5">
        <v>33</v>
      </c>
      <c r="K193" s="8" t="s">
        <v>92</v>
      </c>
      <c r="L193" t="s">
        <v>25</v>
      </c>
      <c r="M193" t="s">
        <v>25</v>
      </c>
      <c r="N193" t="s">
        <v>35</v>
      </c>
      <c r="O193" t="s">
        <v>31</v>
      </c>
      <c r="P193" t="s">
        <v>28</v>
      </c>
      <c r="Q193" t="s">
        <v>28</v>
      </c>
      <c r="R193" s="1"/>
      <c r="S193">
        <v>1</v>
      </c>
      <c r="T193">
        <v>0</v>
      </c>
      <c r="U193">
        <v>0</v>
      </c>
      <c r="V193">
        <v>0</v>
      </c>
      <c r="W193">
        <v>0</v>
      </c>
      <c r="X193">
        <v>0</v>
      </c>
      <c r="Y193">
        <v>0</v>
      </c>
      <c r="Z193">
        <v>1</v>
      </c>
      <c r="AA193">
        <v>0</v>
      </c>
      <c r="AB193">
        <v>1</v>
      </c>
      <c r="AC193" t="s">
        <v>83</v>
      </c>
      <c r="AD193">
        <v>2</v>
      </c>
      <c r="AE193">
        <v>0</v>
      </c>
      <c r="AF193" t="s">
        <v>84</v>
      </c>
    </row>
    <row r="194" spans="1:33" x14ac:dyDescent="0.3">
      <c r="A194" t="s">
        <v>438</v>
      </c>
      <c r="B194" s="17">
        <v>46001</v>
      </c>
      <c r="C194" s="6" t="s">
        <v>238</v>
      </c>
      <c r="D194" s="6">
        <v>9</v>
      </c>
      <c r="E194">
        <v>1</v>
      </c>
      <c r="F194">
        <v>2</v>
      </c>
      <c r="G194" s="1"/>
      <c r="H194" s="4">
        <v>0.54722222222222228</v>
      </c>
      <c r="I194" s="4">
        <v>0.5541666666666667</v>
      </c>
      <c r="J194" s="5">
        <v>25.7</v>
      </c>
      <c r="K194" s="8" t="s">
        <v>92</v>
      </c>
      <c r="L194" t="s">
        <v>50</v>
      </c>
      <c r="M194" t="s">
        <v>50</v>
      </c>
      <c r="N194" t="s">
        <v>37</v>
      </c>
      <c r="O194" t="s">
        <v>37</v>
      </c>
      <c r="P194" t="s">
        <v>28</v>
      </c>
      <c r="Q194" t="s">
        <v>28</v>
      </c>
      <c r="R194" s="1"/>
      <c r="S194">
        <v>1</v>
      </c>
      <c r="T194">
        <v>0</v>
      </c>
      <c r="U194">
        <v>0</v>
      </c>
      <c r="V194">
        <v>1</v>
      </c>
      <c r="W194">
        <v>0</v>
      </c>
      <c r="X194">
        <v>0</v>
      </c>
      <c r="Y194">
        <v>0</v>
      </c>
      <c r="Z194">
        <v>1</v>
      </c>
      <c r="AA194">
        <v>1</v>
      </c>
      <c r="AB194">
        <v>1</v>
      </c>
      <c r="AD194">
        <v>4</v>
      </c>
      <c r="AE194">
        <v>0</v>
      </c>
      <c r="AF194" t="s">
        <v>54</v>
      </c>
      <c r="AG194" t="s">
        <v>55</v>
      </c>
    </row>
    <row r="195" spans="1:33" x14ac:dyDescent="0.3">
      <c r="A195" t="s">
        <v>439</v>
      </c>
      <c r="B195" s="17">
        <v>45973</v>
      </c>
      <c r="C195" s="6" t="s">
        <v>236</v>
      </c>
      <c r="D195" s="6">
        <v>5</v>
      </c>
      <c r="E195">
        <v>1</v>
      </c>
      <c r="F195">
        <v>1</v>
      </c>
      <c r="G195" s="1"/>
      <c r="H195" s="4">
        <v>0.54791666666666672</v>
      </c>
      <c r="I195" s="4">
        <v>0.55486111111111114</v>
      </c>
      <c r="J195" s="5">
        <v>17.2</v>
      </c>
      <c r="K195" s="5">
        <v>19</v>
      </c>
      <c r="L195" t="s">
        <v>56</v>
      </c>
      <c r="M195" t="s">
        <v>56</v>
      </c>
      <c r="N195" t="s">
        <v>35</v>
      </c>
      <c r="O195" s="2" t="s">
        <v>92</v>
      </c>
      <c r="P195" t="s">
        <v>28</v>
      </c>
      <c r="Q195" t="s">
        <v>28</v>
      </c>
      <c r="R195" s="1"/>
      <c r="S195">
        <v>1</v>
      </c>
      <c r="T195">
        <v>1</v>
      </c>
      <c r="U195">
        <v>1</v>
      </c>
      <c r="V195">
        <v>1</v>
      </c>
      <c r="W195">
        <v>0</v>
      </c>
      <c r="X195">
        <v>0</v>
      </c>
      <c r="Y195">
        <v>0</v>
      </c>
      <c r="Z195">
        <v>1</v>
      </c>
      <c r="AA195">
        <v>1</v>
      </c>
      <c r="AB195">
        <v>0</v>
      </c>
      <c r="AC195" t="s">
        <v>43</v>
      </c>
      <c r="AD195">
        <v>0</v>
      </c>
      <c r="AE195">
        <v>0</v>
      </c>
      <c r="AF195" t="s">
        <v>124</v>
      </c>
    </row>
    <row r="196" spans="1:33" x14ac:dyDescent="0.3">
      <c r="A196" t="s">
        <v>440</v>
      </c>
      <c r="B196" s="17">
        <v>45973</v>
      </c>
      <c r="C196" s="6" t="s">
        <v>236</v>
      </c>
      <c r="D196" s="6">
        <v>5</v>
      </c>
      <c r="E196">
        <v>1</v>
      </c>
      <c r="F196">
        <v>1</v>
      </c>
      <c r="G196" s="1"/>
      <c r="H196" s="4">
        <v>0.54791666666666672</v>
      </c>
      <c r="I196" s="4">
        <v>0.55486111111111114</v>
      </c>
      <c r="J196" s="5">
        <v>18.100000000000001</v>
      </c>
      <c r="K196" s="5">
        <v>19</v>
      </c>
      <c r="L196" t="s">
        <v>56</v>
      </c>
      <c r="M196" t="s">
        <v>56</v>
      </c>
      <c r="N196" t="s">
        <v>35</v>
      </c>
      <c r="O196" s="2" t="s">
        <v>92</v>
      </c>
      <c r="P196" t="s">
        <v>28</v>
      </c>
      <c r="Q196" t="s">
        <v>28</v>
      </c>
      <c r="R196" s="1"/>
      <c r="S196">
        <v>1</v>
      </c>
      <c r="T196">
        <v>0</v>
      </c>
      <c r="U196">
        <v>1</v>
      </c>
      <c r="V196">
        <v>1</v>
      </c>
      <c r="W196">
        <v>0</v>
      </c>
      <c r="X196">
        <v>0</v>
      </c>
      <c r="Y196">
        <v>0</v>
      </c>
      <c r="Z196">
        <v>1</v>
      </c>
      <c r="AA196">
        <v>1</v>
      </c>
      <c r="AB196">
        <v>0</v>
      </c>
      <c r="AC196" t="s">
        <v>121</v>
      </c>
      <c r="AD196">
        <v>0</v>
      </c>
      <c r="AE196">
        <v>0</v>
      </c>
      <c r="AF196" t="s">
        <v>122</v>
      </c>
    </row>
    <row r="197" spans="1:33" x14ac:dyDescent="0.3">
      <c r="A197" t="s">
        <v>441</v>
      </c>
      <c r="B197" s="17">
        <v>45981</v>
      </c>
      <c r="C197" s="6" t="s">
        <v>238</v>
      </c>
      <c r="D197" s="6">
        <v>3</v>
      </c>
      <c r="E197">
        <v>2</v>
      </c>
      <c r="F197">
        <v>1</v>
      </c>
      <c r="G197" s="1"/>
      <c r="H197" s="4">
        <v>0.54861111111111116</v>
      </c>
      <c r="I197" s="4">
        <v>0.55555555555555558</v>
      </c>
      <c r="J197" s="5">
        <v>28</v>
      </c>
      <c r="K197" s="5">
        <v>27.7</v>
      </c>
      <c r="L197" t="s">
        <v>50</v>
      </c>
      <c r="M197" t="s">
        <v>32</v>
      </c>
      <c r="N197" t="s">
        <v>26</v>
      </c>
      <c r="O197" s="2" t="s">
        <v>92</v>
      </c>
      <c r="P197" t="s">
        <v>28</v>
      </c>
      <c r="Q197" t="s">
        <v>28</v>
      </c>
      <c r="R197" s="1"/>
      <c r="S197">
        <v>1</v>
      </c>
      <c r="T197">
        <v>0</v>
      </c>
      <c r="U197">
        <v>1</v>
      </c>
      <c r="V197">
        <v>1</v>
      </c>
      <c r="W197">
        <v>0</v>
      </c>
      <c r="X197">
        <v>1</v>
      </c>
      <c r="Y197">
        <v>0</v>
      </c>
      <c r="Z197">
        <v>1</v>
      </c>
      <c r="AA197">
        <v>1</v>
      </c>
      <c r="AB197">
        <v>1</v>
      </c>
      <c r="AC197" t="s">
        <v>73</v>
      </c>
      <c r="AD197">
        <v>1</v>
      </c>
      <c r="AE197">
        <v>0</v>
      </c>
    </row>
    <row r="198" spans="1:33" x14ac:dyDescent="0.3">
      <c r="A198" t="s">
        <v>442</v>
      </c>
      <c r="B198" s="17">
        <v>46007</v>
      </c>
      <c r="C198" s="6" t="s">
        <v>237</v>
      </c>
      <c r="D198" s="6">
        <v>2</v>
      </c>
      <c r="E198">
        <v>1</v>
      </c>
      <c r="F198">
        <v>2</v>
      </c>
      <c r="G198" s="1"/>
      <c r="H198" s="4">
        <v>0.55277777777777781</v>
      </c>
      <c r="I198" s="4">
        <v>0.55972222222222223</v>
      </c>
      <c r="J198" s="5">
        <v>22.7</v>
      </c>
      <c r="K198" s="5">
        <v>22.8</v>
      </c>
      <c r="L198" t="s">
        <v>32</v>
      </c>
      <c r="M198" t="s">
        <v>32</v>
      </c>
      <c r="N198" t="s">
        <v>26</v>
      </c>
      <c r="O198" t="s">
        <v>26</v>
      </c>
      <c r="P198" t="s">
        <v>28</v>
      </c>
      <c r="Q198" t="s">
        <v>28</v>
      </c>
      <c r="R198" s="1"/>
      <c r="S198">
        <v>1</v>
      </c>
      <c r="T198">
        <v>0</v>
      </c>
      <c r="U198">
        <v>1</v>
      </c>
      <c r="V198">
        <v>1</v>
      </c>
      <c r="W198">
        <v>1</v>
      </c>
      <c r="X198">
        <v>0</v>
      </c>
      <c r="Y198">
        <v>0</v>
      </c>
      <c r="Z198">
        <v>1</v>
      </c>
      <c r="AA198">
        <v>0</v>
      </c>
      <c r="AB198">
        <v>1</v>
      </c>
      <c r="AD198">
        <v>0</v>
      </c>
      <c r="AE198">
        <v>0</v>
      </c>
    </row>
    <row r="199" spans="1:33" x14ac:dyDescent="0.3">
      <c r="A199" t="s">
        <v>443</v>
      </c>
      <c r="B199" s="17">
        <v>45967</v>
      </c>
      <c r="C199" s="6" t="s">
        <v>236</v>
      </c>
      <c r="D199" s="6">
        <v>5</v>
      </c>
      <c r="E199">
        <v>2</v>
      </c>
      <c r="F199">
        <v>1</v>
      </c>
      <c r="G199" s="1"/>
      <c r="H199" s="4">
        <v>0.5541666666666667</v>
      </c>
      <c r="I199" s="4">
        <v>0.56111111111111112</v>
      </c>
      <c r="J199" s="5">
        <v>21.2</v>
      </c>
      <c r="K199" s="5">
        <v>21.2</v>
      </c>
      <c r="L199" t="s">
        <v>50</v>
      </c>
      <c r="M199" t="s">
        <v>50</v>
      </c>
      <c r="N199" t="s">
        <v>37</v>
      </c>
      <c r="O199" s="2" t="s">
        <v>92</v>
      </c>
      <c r="P199" s="2" t="s">
        <v>92</v>
      </c>
      <c r="Q199" s="2" t="s">
        <v>92</v>
      </c>
      <c r="R199" s="1"/>
      <c r="S199">
        <v>0</v>
      </c>
      <c r="T199">
        <v>0</v>
      </c>
      <c r="U199">
        <v>1</v>
      </c>
      <c r="V199">
        <v>1</v>
      </c>
      <c r="W199">
        <v>0</v>
      </c>
      <c r="X199">
        <v>0</v>
      </c>
      <c r="Y199">
        <v>1</v>
      </c>
      <c r="Z199">
        <v>1</v>
      </c>
      <c r="AA199">
        <v>1</v>
      </c>
      <c r="AB199">
        <v>0</v>
      </c>
      <c r="AC199" t="s">
        <v>234</v>
      </c>
      <c r="AD199">
        <v>0</v>
      </c>
      <c r="AE199">
        <v>0</v>
      </c>
    </row>
    <row r="200" spans="1:33" x14ac:dyDescent="0.3">
      <c r="A200" t="s">
        <v>444</v>
      </c>
      <c r="B200" s="17">
        <v>45967</v>
      </c>
      <c r="C200" s="6" t="s">
        <v>236</v>
      </c>
      <c r="D200" s="6">
        <v>5</v>
      </c>
      <c r="E200">
        <v>2</v>
      </c>
      <c r="F200">
        <v>1</v>
      </c>
      <c r="G200" s="1"/>
      <c r="H200" s="4">
        <v>0.5541666666666667</v>
      </c>
      <c r="I200" s="4">
        <v>0.56111111111111112</v>
      </c>
      <c r="J200" s="5">
        <v>21.2</v>
      </c>
      <c r="K200" s="5">
        <v>21.2</v>
      </c>
      <c r="L200" t="s">
        <v>50</v>
      </c>
      <c r="M200" t="s">
        <v>50</v>
      </c>
      <c r="N200" t="s">
        <v>37</v>
      </c>
      <c r="O200" s="2" t="s">
        <v>92</v>
      </c>
      <c r="P200" s="2" t="s">
        <v>92</v>
      </c>
      <c r="Q200" s="2" t="s">
        <v>92</v>
      </c>
      <c r="R200" s="1"/>
      <c r="S200">
        <v>0</v>
      </c>
      <c r="T200">
        <v>0</v>
      </c>
      <c r="U200">
        <v>1</v>
      </c>
      <c r="V200">
        <v>1</v>
      </c>
      <c r="W200">
        <v>0</v>
      </c>
      <c r="X200">
        <v>0</v>
      </c>
      <c r="Y200">
        <v>0</v>
      </c>
      <c r="Z200">
        <v>0</v>
      </c>
      <c r="AA200">
        <v>1</v>
      </c>
      <c r="AB200">
        <v>0</v>
      </c>
      <c r="AC200" t="s">
        <v>148</v>
      </c>
      <c r="AD200">
        <v>0</v>
      </c>
      <c r="AE200">
        <v>0</v>
      </c>
    </row>
    <row r="201" spans="1:33" x14ac:dyDescent="0.3">
      <c r="A201" t="s">
        <v>445</v>
      </c>
      <c r="B201" s="17">
        <v>45974</v>
      </c>
      <c r="C201" s="6" t="s">
        <v>236</v>
      </c>
      <c r="D201" s="6" t="s">
        <v>241</v>
      </c>
      <c r="E201">
        <v>1</v>
      </c>
      <c r="F201">
        <v>2</v>
      </c>
      <c r="G201" s="1"/>
      <c r="H201" s="4">
        <v>0.55486111111111114</v>
      </c>
      <c r="I201" s="4">
        <v>0.5625</v>
      </c>
      <c r="J201" s="5">
        <v>23.7</v>
      </c>
      <c r="K201" s="5">
        <v>23.4</v>
      </c>
      <c r="L201" t="s">
        <v>32</v>
      </c>
      <c r="M201" t="s">
        <v>30</v>
      </c>
      <c r="N201" t="s">
        <v>35</v>
      </c>
      <c r="O201" t="s">
        <v>68</v>
      </c>
      <c r="P201" t="s">
        <v>28</v>
      </c>
      <c r="Q201" t="s">
        <v>28</v>
      </c>
      <c r="R201" s="1"/>
      <c r="S201">
        <v>0</v>
      </c>
      <c r="T201">
        <v>0</v>
      </c>
      <c r="U201">
        <v>1</v>
      </c>
      <c r="V201">
        <v>1</v>
      </c>
      <c r="W201">
        <v>0</v>
      </c>
      <c r="X201">
        <v>0</v>
      </c>
      <c r="Y201">
        <v>0</v>
      </c>
      <c r="Z201">
        <v>1</v>
      </c>
      <c r="AA201">
        <v>1</v>
      </c>
      <c r="AB201">
        <v>1</v>
      </c>
      <c r="AC201" t="s">
        <v>163</v>
      </c>
      <c r="AD201">
        <v>0</v>
      </c>
      <c r="AE201">
        <v>0</v>
      </c>
    </row>
    <row r="202" spans="1:33" x14ac:dyDescent="0.3">
      <c r="A202" t="s">
        <v>446</v>
      </c>
      <c r="B202" s="17">
        <v>45974</v>
      </c>
      <c r="C202" s="6" t="s">
        <v>236</v>
      </c>
      <c r="D202" s="6" t="s">
        <v>241</v>
      </c>
      <c r="E202">
        <v>1</v>
      </c>
      <c r="F202">
        <v>2</v>
      </c>
      <c r="G202" s="1"/>
      <c r="H202" s="4">
        <v>0.55555555555555558</v>
      </c>
      <c r="I202" s="4">
        <v>0.5625</v>
      </c>
      <c r="J202" s="5">
        <v>23.7</v>
      </c>
      <c r="K202" s="5">
        <v>23.4</v>
      </c>
      <c r="L202" t="s">
        <v>32</v>
      </c>
      <c r="M202" t="s">
        <v>30</v>
      </c>
      <c r="N202" t="s">
        <v>35</v>
      </c>
      <c r="O202" t="s">
        <v>68</v>
      </c>
      <c r="P202" t="s">
        <v>28</v>
      </c>
      <c r="Q202" t="s">
        <v>28</v>
      </c>
      <c r="R202" s="1"/>
      <c r="S202">
        <v>0</v>
      </c>
      <c r="T202">
        <v>0</v>
      </c>
      <c r="U202">
        <v>1</v>
      </c>
      <c r="V202">
        <v>0</v>
      </c>
      <c r="W202">
        <v>0</v>
      </c>
      <c r="X202">
        <v>0</v>
      </c>
      <c r="Y202">
        <v>0</v>
      </c>
      <c r="Z202">
        <v>1</v>
      </c>
      <c r="AA202">
        <v>0</v>
      </c>
      <c r="AB202">
        <v>0</v>
      </c>
      <c r="AD202">
        <v>0</v>
      </c>
      <c r="AE202">
        <v>0</v>
      </c>
    </row>
    <row r="203" spans="1:33" x14ac:dyDescent="0.3">
      <c r="A203" t="s">
        <v>447</v>
      </c>
      <c r="B203" s="17">
        <v>45980</v>
      </c>
      <c r="C203" s="6" t="s">
        <v>236</v>
      </c>
      <c r="D203" s="6" t="s">
        <v>242</v>
      </c>
      <c r="E203">
        <v>2</v>
      </c>
      <c r="F203">
        <v>1</v>
      </c>
      <c r="G203" s="1"/>
      <c r="H203" s="4">
        <v>0.55555555555555558</v>
      </c>
      <c r="I203" s="4">
        <v>0.5625</v>
      </c>
      <c r="J203" s="5">
        <v>26.4</v>
      </c>
      <c r="K203" s="5">
        <v>25.3</v>
      </c>
      <c r="L203" t="s">
        <v>30</v>
      </c>
      <c r="M203" t="s">
        <v>30</v>
      </c>
      <c r="N203" t="s">
        <v>31</v>
      </c>
      <c r="O203" s="2" t="s">
        <v>92</v>
      </c>
      <c r="P203" t="s">
        <v>28</v>
      </c>
      <c r="Q203" t="s">
        <v>28</v>
      </c>
      <c r="R203" s="1"/>
      <c r="S203">
        <v>1</v>
      </c>
      <c r="T203">
        <v>0</v>
      </c>
      <c r="U203">
        <v>1</v>
      </c>
      <c r="V203">
        <v>1</v>
      </c>
      <c r="W203">
        <v>0</v>
      </c>
      <c r="X203">
        <v>0</v>
      </c>
      <c r="Y203">
        <v>0</v>
      </c>
      <c r="Z203">
        <v>1</v>
      </c>
      <c r="AA203">
        <v>1</v>
      </c>
      <c r="AB203">
        <v>1</v>
      </c>
      <c r="AC203" t="s">
        <v>116</v>
      </c>
      <c r="AD203">
        <v>3</v>
      </c>
      <c r="AE203">
        <v>0</v>
      </c>
      <c r="AF203" t="s">
        <v>72</v>
      </c>
    </row>
    <row r="204" spans="1:33" x14ac:dyDescent="0.3">
      <c r="A204" t="s">
        <v>448</v>
      </c>
      <c r="B204" s="17">
        <v>45980</v>
      </c>
      <c r="C204" s="6" t="s">
        <v>236</v>
      </c>
      <c r="D204" s="6" t="s">
        <v>242</v>
      </c>
      <c r="E204">
        <v>3</v>
      </c>
      <c r="F204">
        <v>1</v>
      </c>
      <c r="G204" s="1"/>
      <c r="H204" s="4">
        <v>0.55555555555555558</v>
      </c>
      <c r="I204" s="4">
        <v>0.5625</v>
      </c>
      <c r="J204" s="5">
        <v>26.4</v>
      </c>
      <c r="K204" s="5">
        <v>25.3</v>
      </c>
      <c r="L204" t="s">
        <v>30</v>
      </c>
      <c r="M204" t="s">
        <v>30</v>
      </c>
      <c r="N204" t="s">
        <v>35</v>
      </c>
      <c r="O204" s="2" t="s">
        <v>92</v>
      </c>
      <c r="P204" t="s">
        <v>28</v>
      </c>
      <c r="Q204" t="s">
        <v>28</v>
      </c>
      <c r="R204" s="1"/>
      <c r="S204">
        <v>1</v>
      </c>
      <c r="T204">
        <v>0</v>
      </c>
      <c r="U204">
        <v>0</v>
      </c>
      <c r="V204">
        <v>1</v>
      </c>
      <c r="W204">
        <v>0</v>
      </c>
      <c r="X204">
        <v>0</v>
      </c>
      <c r="Y204">
        <v>0</v>
      </c>
      <c r="Z204">
        <v>0</v>
      </c>
      <c r="AA204">
        <v>0</v>
      </c>
      <c r="AB204">
        <v>1</v>
      </c>
      <c r="AC204" t="s">
        <v>119</v>
      </c>
      <c r="AD204">
        <v>0</v>
      </c>
      <c r="AE204">
        <v>0</v>
      </c>
    </row>
    <row r="205" spans="1:33" x14ac:dyDescent="0.3">
      <c r="A205" t="s">
        <v>449</v>
      </c>
      <c r="B205" s="17">
        <v>45989</v>
      </c>
      <c r="C205" s="6" t="s">
        <v>236</v>
      </c>
      <c r="D205" s="6">
        <v>2</v>
      </c>
      <c r="E205">
        <v>1</v>
      </c>
      <c r="F205">
        <v>2</v>
      </c>
      <c r="G205" s="1"/>
      <c r="H205" s="4">
        <v>0.55555555555555558</v>
      </c>
      <c r="I205" s="4">
        <v>0.5625</v>
      </c>
      <c r="J205" s="5">
        <v>24.3</v>
      </c>
      <c r="K205" s="5">
        <v>25.3</v>
      </c>
      <c r="L205" t="s">
        <v>30</v>
      </c>
      <c r="M205" t="s">
        <v>30</v>
      </c>
      <c r="N205" t="s">
        <v>68</v>
      </c>
      <c r="O205" s="2" t="s">
        <v>92</v>
      </c>
      <c r="P205" t="s">
        <v>28</v>
      </c>
      <c r="Q205" t="s">
        <v>28</v>
      </c>
      <c r="R205" s="1"/>
      <c r="S205">
        <v>0</v>
      </c>
      <c r="T205">
        <v>0</v>
      </c>
      <c r="U205">
        <v>1</v>
      </c>
      <c r="V205">
        <v>0</v>
      </c>
      <c r="W205">
        <v>0</v>
      </c>
      <c r="X205">
        <v>0</v>
      </c>
      <c r="Y205">
        <v>0</v>
      </c>
      <c r="Z205">
        <v>1</v>
      </c>
      <c r="AA205">
        <v>1</v>
      </c>
      <c r="AB205">
        <v>1</v>
      </c>
      <c r="AD205">
        <v>3</v>
      </c>
      <c r="AE205">
        <v>0</v>
      </c>
    </row>
    <row r="206" spans="1:33" x14ac:dyDescent="0.3">
      <c r="A206" t="s">
        <v>450</v>
      </c>
      <c r="B206" s="17">
        <v>45989</v>
      </c>
      <c r="C206" s="6" t="s">
        <v>236</v>
      </c>
      <c r="D206" s="6">
        <v>2</v>
      </c>
      <c r="E206">
        <v>1</v>
      </c>
      <c r="F206">
        <v>2</v>
      </c>
      <c r="G206" s="1"/>
      <c r="H206" s="4">
        <v>0.55555555555555558</v>
      </c>
      <c r="I206" s="4">
        <v>0.5625</v>
      </c>
      <c r="J206" s="5">
        <v>24.3</v>
      </c>
      <c r="K206" s="5">
        <v>25.3</v>
      </c>
      <c r="L206" t="s">
        <v>30</v>
      </c>
      <c r="M206" t="s">
        <v>30</v>
      </c>
      <c r="N206" t="s">
        <v>68</v>
      </c>
      <c r="O206" s="2" t="s">
        <v>92</v>
      </c>
      <c r="P206" t="s">
        <v>28</v>
      </c>
      <c r="Q206" t="s">
        <v>28</v>
      </c>
      <c r="R206" s="1"/>
      <c r="S206">
        <v>0</v>
      </c>
      <c r="T206">
        <v>0</v>
      </c>
      <c r="U206">
        <v>0</v>
      </c>
      <c r="V206">
        <v>1</v>
      </c>
      <c r="W206">
        <v>0</v>
      </c>
      <c r="X206">
        <v>0</v>
      </c>
      <c r="Y206">
        <v>0</v>
      </c>
      <c r="Z206">
        <v>1</v>
      </c>
      <c r="AA206">
        <v>1</v>
      </c>
      <c r="AB206">
        <v>1</v>
      </c>
      <c r="AC206" t="s">
        <v>98</v>
      </c>
      <c r="AD206">
        <v>0</v>
      </c>
      <c r="AE206">
        <v>0</v>
      </c>
      <c r="AF206" t="s">
        <v>72</v>
      </c>
    </row>
    <row r="207" spans="1:33" x14ac:dyDescent="0.3">
      <c r="A207" t="s">
        <v>451</v>
      </c>
      <c r="B207" s="17">
        <v>45996</v>
      </c>
      <c r="C207" s="6" t="s">
        <v>238</v>
      </c>
      <c r="D207" s="6">
        <v>9</v>
      </c>
      <c r="E207">
        <v>1</v>
      </c>
      <c r="F207">
        <v>1</v>
      </c>
      <c r="G207" s="1"/>
      <c r="H207" s="4">
        <v>0.55555555555555558</v>
      </c>
      <c r="I207" s="4">
        <v>0.56319444444444444</v>
      </c>
      <c r="J207" s="5">
        <v>32.299999999999997</v>
      </c>
      <c r="K207" s="5">
        <v>33.200000000000003</v>
      </c>
      <c r="L207" t="s">
        <v>32</v>
      </c>
      <c r="M207" t="s">
        <v>32</v>
      </c>
      <c r="N207" t="s">
        <v>68</v>
      </c>
      <c r="O207" s="2" t="s">
        <v>92</v>
      </c>
      <c r="P207" t="s">
        <v>28</v>
      </c>
      <c r="Q207" t="s">
        <v>28</v>
      </c>
      <c r="R207" s="1"/>
      <c r="S207">
        <v>1</v>
      </c>
      <c r="T207">
        <v>0</v>
      </c>
      <c r="U207">
        <v>1</v>
      </c>
      <c r="V207">
        <v>0</v>
      </c>
      <c r="W207">
        <v>0</v>
      </c>
      <c r="X207">
        <v>0</v>
      </c>
      <c r="Y207">
        <v>0</v>
      </c>
      <c r="Z207">
        <v>0</v>
      </c>
      <c r="AA207">
        <v>0</v>
      </c>
      <c r="AB207">
        <v>0</v>
      </c>
      <c r="AD207">
        <v>2</v>
      </c>
      <c r="AE207">
        <v>0</v>
      </c>
    </row>
    <row r="208" spans="1:33" x14ac:dyDescent="0.3">
      <c r="A208" t="s">
        <v>452</v>
      </c>
      <c r="B208" s="17">
        <v>45996</v>
      </c>
      <c r="C208" s="6" t="s">
        <v>238</v>
      </c>
      <c r="D208" s="6">
        <v>9</v>
      </c>
      <c r="E208">
        <v>1</v>
      </c>
      <c r="F208">
        <v>1</v>
      </c>
      <c r="G208" s="1"/>
      <c r="H208" s="4">
        <v>0.55555555555555558</v>
      </c>
      <c r="I208" s="4">
        <v>0.5625</v>
      </c>
      <c r="J208" s="5">
        <v>32.9</v>
      </c>
      <c r="K208" s="5">
        <v>33.200000000000003</v>
      </c>
      <c r="L208" t="s">
        <v>32</v>
      </c>
      <c r="M208" t="s">
        <v>32</v>
      </c>
      <c r="N208" t="s">
        <v>68</v>
      </c>
      <c r="O208" s="2" t="s">
        <v>92</v>
      </c>
      <c r="P208" t="s">
        <v>28</v>
      </c>
      <c r="Q208" t="s">
        <v>28</v>
      </c>
      <c r="R208" s="1"/>
      <c r="S208">
        <v>1</v>
      </c>
      <c r="T208">
        <v>0</v>
      </c>
      <c r="U208">
        <v>1</v>
      </c>
      <c r="V208">
        <v>1</v>
      </c>
      <c r="W208">
        <v>0</v>
      </c>
      <c r="X208">
        <v>0</v>
      </c>
      <c r="Y208">
        <v>0</v>
      </c>
      <c r="Z208">
        <v>1</v>
      </c>
      <c r="AA208">
        <v>0</v>
      </c>
      <c r="AB208">
        <v>0</v>
      </c>
      <c r="AD208">
        <v>1</v>
      </c>
      <c r="AE208">
        <v>0</v>
      </c>
    </row>
    <row r="209" spans="1:32" x14ac:dyDescent="0.3">
      <c r="A209" t="s">
        <v>453</v>
      </c>
      <c r="B209" s="17">
        <v>46008</v>
      </c>
      <c r="C209" s="6" t="s">
        <v>238</v>
      </c>
      <c r="D209" s="6" t="s">
        <v>241</v>
      </c>
      <c r="E209">
        <v>1</v>
      </c>
      <c r="F209">
        <v>1</v>
      </c>
      <c r="G209" s="1"/>
      <c r="H209" s="4">
        <v>0.55694444444444446</v>
      </c>
      <c r="I209" s="4">
        <v>0.56388888888888888</v>
      </c>
      <c r="J209" s="5">
        <v>30.6</v>
      </c>
      <c r="K209" s="5">
        <v>30.5</v>
      </c>
      <c r="L209" t="s">
        <v>56</v>
      </c>
      <c r="M209" t="s">
        <v>56</v>
      </c>
      <c r="N209" t="s">
        <v>26</v>
      </c>
      <c r="O209" t="s">
        <v>26</v>
      </c>
      <c r="P209" t="s">
        <v>28</v>
      </c>
      <c r="Q209" t="s">
        <v>28</v>
      </c>
      <c r="R209" s="1"/>
      <c r="S209">
        <v>0</v>
      </c>
      <c r="T209">
        <v>0</v>
      </c>
      <c r="U209">
        <v>1</v>
      </c>
      <c r="V209">
        <v>1</v>
      </c>
      <c r="W209">
        <v>1</v>
      </c>
      <c r="X209">
        <v>0</v>
      </c>
      <c r="Y209">
        <v>0</v>
      </c>
      <c r="Z209">
        <v>1</v>
      </c>
      <c r="AA209">
        <v>1</v>
      </c>
      <c r="AB209">
        <v>1</v>
      </c>
      <c r="AC209" t="s">
        <v>171</v>
      </c>
      <c r="AD209">
        <v>0</v>
      </c>
      <c r="AE209">
        <v>0</v>
      </c>
      <c r="AF209" t="s">
        <v>172</v>
      </c>
    </row>
    <row r="210" spans="1:32" x14ac:dyDescent="0.3">
      <c r="A210" t="s">
        <v>454</v>
      </c>
      <c r="B210" s="17">
        <v>45981</v>
      </c>
      <c r="C210" s="6" t="s">
        <v>238</v>
      </c>
      <c r="D210" s="6">
        <v>3</v>
      </c>
      <c r="E210">
        <v>3</v>
      </c>
      <c r="F210">
        <v>1</v>
      </c>
      <c r="G210" s="1"/>
      <c r="H210" s="4">
        <v>0.55763888888888891</v>
      </c>
      <c r="I210" s="4">
        <v>0.56527777777777777</v>
      </c>
      <c r="J210" s="5">
        <v>27.7</v>
      </c>
      <c r="K210" s="5">
        <v>28.3</v>
      </c>
      <c r="L210" t="s">
        <v>32</v>
      </c>
      <c r="M210" t="s">
        <v>50</v>
      </c>
      <c r="N210" t="s">
        <v>31</v>
      </c>
      <c r="O210" s="2" t="s">
        <v>92</v>
      </c>
      <c r="P210" t="s">
        <v>28</v>
      </c>
      <c r="Q210" t="s">
        <v>28</v>
      </c>
      <c r="R210" s="1"/>
      <c r="S210">
        <v>1</v>
      </c>
      <c r="T210">
        <v>0</v>
      </c>
      <c r="U210">
        <v>0</v>
      </c>
      <c r="V210">
        <v>1</v>
      </c>
      <c r="W210">
        <v>0</v>
      </c>
      <c r="X210">
        <v>0</v>
      </c>
      <c r="Y210">
        <v>0</v>
      </c>
      <c r="Z210">
        <v>1</v>
      </c>
      <c r="AA210">
        <v>1</v>
      </c>
      <c r="AB210">
        <v>1</v>
      </c>
      <c r="AC210" t="s">
        <v>91</v>
      </c>
      <c r="AD210">
        <v>0</v>
      </c>
      <c r="AE210">
        <v>0</v>
      </c>
    </row>
    <row r="211" spans="1:32" x14ac:dyDescent="0.3">
      <c r="A211" t="s">
        <v>455</v>
      </c>
      <c r="B211" s="17">
        <v>45981</v>
      </c>
      <c r="C211" s="6" t="s">
        <v>238</v>
      </c>
      <c r="D211" s="6">
        <v>3</v>
      </c>
      <c r="E211">
        <v>3</v>
      </c>
      <c r="F211">
        <v>1</v>
      </c>
      <c r="G211" s="1"/>
      <c r="H211" s="4">
        <v>0.55763888888888891</v>
      </c>
      <c r="I211" s="4">
        <v>0.56458333333333333</v>
      </c>
      <c r="J211" s="5">
        <v>27.7</v>
      </c>
      <c r="K211" s="5">
        <v>28.3</v>
      </c>
      <c r="L211" t="s">
        <v>32</v>
      </c>
      <c r="M211" t="s">
        <v>50</v>
      </c>
      <c r="N211" t="s">
        <v>35</v>
      </c>
      <c r="O211" s="2" t="s">
        <v>92</v>
      </c>
      <c r="P211" t="s">
        <v>28</v>
      </c>
      <c r="Q211" t="s">
        <v>28</v>
      </c>
      <c r="R211" s="1"/>
      <c r="S211">
        <v>1</v>
      </c>
      <c r="T211">
        <v>0</v>
      </c>
      <c r="U211">
        <v>1</v>
      </c>
      <c r="V211">
        <v>1</v>
      </c>
      <c r="W211">
        <v>0</v>
      </c>
      <c r="X211">
        <v>1</v>
      </c>
      <c r="Y211">
        <v>0</v>
      </c>
      <c r="Z211">
        <v>1</v>
      </c>
      <c r="AA211">
        <v>1</v>
      </c>
      <c r="AB211">
        <v>1</v>
      </c>
      <c r="AC211" t="s">
        <v>210</v>
      </c>
      <c r="AD211">
        <v>0</v>
      </c>
      <c r="AE211">
        <v>0</v>
      </c>
      <c r="AF211" t="s">
        <v>72</v>
      </c>
    </row>
    <row r="212" spans="1:32" x14ac:dyDescent="0.3">
      <c r="A212" t="s">
        <v>456</v>
      </c>
      <c r="B212" s="17">
        <v>45999</v>
      </c>
      <c r="C212" s="6" t="s">
        <v>236</v>
      </c>
      <c r="D212" s="6">
        <v>5</v>
      </c>
      <c r="E212">
        <v>2</v>
      </c>
      <c r="F212">
        <v>1</v>
      </c>
      <c r="G212" s="1"/>
      <c r="H212" s="4">
        <v>0.55833333333333335</v>
      </c>
      <c r="I212" s="4">
        <v>0.56527777777777777</v>
      </c>
      <c r="J212" s="5">
        <v>24.5</v>
      </c>
      <c r="K212" s="5">
        <v>24.4</v>
      </c>
      <c r="L212" t="s">
        <v>30</v>
      </c>
      <c r="M212" t="s">
        <v>30</v>
      </c>
      <c r="N212" t="s">
        <v>37</v>
      </c>
      <c r="O212" t="s">
        <v>37</v>
      </c>
      <c r="P212" t="s">
        <v>28</v>
      </c>
      <c r="Q212" t="s">
        <v>28</v>
      </c>
      <c r="R212" s="1"/>
      <c r="S212">
        <v>1</v>
      </c>
      <c r="T212">
        <v>0</v>
      </c>
      <c r="U212">
        <v>1</v>
      </c>
      <c r="V212">
        <v>0</v>
      </c>
      <c r="W212">
        <v>0</v>
      </c>
      <c r="X212">
        <v>0</v>
      </c>
      <c r="Y212">
        <v>0</v>
      </c>
      <c r="Z212">
        <v>1</v>
      </c>
      <c r="AA212">
        <v>0</v>
      </c>
      <c r="AB212">
        <v>1</v>
      </c>
      <c r="AC212" t="s">
        <v>182</v>
      </c>
      <c r="AD212">
        <v>1</v>
      </c>
      <c r="AE212">
        <v>0</v>
      </c>
    </row>
    <row r="213" spans="1:32" x14ac:dyDescent="0.3">
      <c r="A213" t="s">
        <v>457</v>
      </c>
      <c r="B213" s="17">
        <v>45999</v>
      </c>
      <c r="C213" s="6" t="s">
        <v>236</v>
      </c>
      <c r="D213" s="6">
        <v>5</v>
      </c>
      <c r="E213">
        <v>2</v>
      </c>
      <c r="F213">
        <v>1</v>
      </c>
      <c r="G213" s="1"/>
      <c r="H213" s="4">
        <v>0.55833333333333335</v>
      </c>
      <c r="I213" s="4">
        <v>0.56527777777777777</v>
      </c>
      <c r="J213" s="5">
        <v>24.5</v>
      </c>
      <c r="K213" s="5">
        <v>24.4</v>
      </c>
      <c r="L213" t="s">
        <v>30</v>
      </c>
      <c r="M213" t="s">
        <v>30</v>
      </c>
      <c r="N213" t="s">
        <v>37</v>
      </c>
      <c r="O213" t="s">
        <v>37</v>
      </c>
      <c r="P213" t="s">
        <v>28</v>
      </c>
      <c r="Q213" t="s">
        <v>28</v>
      </c>
      <c r="R213" s="1"/>
      <c r="S213">
        <v>1</v>
      </c>
      <c r="T213">
        <v>0</v>
      </c>
      <c r="U213">
        <v>0</v>
      </c>
      <c r="V213">
        <v>1</v>
      </c>
      <c r="W213">
        <v>0</v>
      </c>
      <c r="X213">
        <v>0</v>
      </c>
      <c r="Y213">
        <v>0</v>
      </c>
      <c r="Z213">
        <v>1</v>
      </c>
      <c r="AA213">
        <v>0</v>
      </c>
      <c r="AB213">
        <v>1</v>
      </c>
      <c r="AC213" s="2" t="s">
        <v>219</v>
      </c>
      <c r="AD213">
        <v>1</v>
      </c>
      <c r="AE213">
        <v>0</v>
      </c>
    </row>
    <row r="214" spans="1:32" x14ac:dyDescent="0.3">
      <c r="A214" t="s">
        <v>458</v>
      </c>
      <c r="B214" s="17">
        <v>45968</v>
      </c>
      <c r="C214" s="6" t="s">
        <v>236</v>
      </c>
      <c r="D214" s="6">
        <v>2</v>
      </c>
      <c r="E214">
        <v>1</v>
      </c>
      <c r="F214">
        <v>1</v>
      </c>
      <c r="G214" s="1"/>
      <c r="H214" s="4">
        <v>0.55902777777777779</v>
      </c>
      <c r="I214" s="4">
        <v>0.56597222222222221</v>
      </c>
      <c r="J214" s="5">
        <v>26.4</v>
      </c>
      <c r="K214" s="5">
        <v>25.1</v>
      </c>
      <c r="L214" t="s">
        <v>27</v>
      </c>
      <c r="M214" t="s">
        <v>27</v>
      </c>
      <c r="N214" t="s">
        <v>35</v>
      </c>
      <c r="O214" s="2" t="s">
        <v>92</v>
      </c>
      <c r="P214" t="s">
        <v>28</v>
      </c>
      <c r="Q214" t="s">
        <v>28</v>
      </c>
      <c r="R214" s="1"/>
      <c r="S214">
        <v>0</v>
      </c>
      <c r="T214">
        <v>0</v>
      </c>
      <c r="U214">
        <v>1</v>
      </c>
      <c r="V214">
        <v>0</v>
      </c>
      <c r="W214">
        <v>0</v>
      </c>
      <c r="X214">
        <v>0</v>
      </c>
      <c r="Y214">
        <v>0</v>
      </c>
      <c r="Z214">
        <v>1</v>
      </c>
      <c r="AA214">
        <v>0</v>
      </c>
      <c r="AB214">
        <v>0</v>
      </c>
      <c r="AC214" t="s">
        <v>136</v>
      </c>
      <c r="AD214">
        <v>0</v>
      </c>
      <c r="AE214">
        <v>0</v>
      </c>
    </row>
    <row r="215" spans="1:32" x14ac:dyDescent="0.3">
      <c r="A215" t="s">
        <v>459</v>
      </c>
      <c r="B215" s="17">
        <v>45968</v>
      </c>
      <c r="C215" s="6" t="s">
        <v>236</v>
      </c>
      <c r="D215" s="6">
        <v>2</v>
      </c>
      <c r="E215">
        <v>1</v>
      </c>
      <c r="F215">
        <v>1</v>
      </c>
      <c r="G215" s="1"/>
      <c r="H215" s="4">
        <v>0.55972222222222223</v>
      </c>
      <c r="I215" s="4">
        <v>0.56666666666666665</v>
      </c>
      <c r="J215" s="5">
        <v>26.4</v>
      </c>
      <c r="K215" s="5">
        <v>25.1</v>
      </c>
      <c r="L215" t="s">
        <v>25</v>
      </c>
      <c r="M215" t="s">
        <v>25</v>
      </c>
      <c r="N215" t="s">
        <v>35</v>
      </c>
      <c r="O215" s="2" t="s">
        <v>92</v>
      </c>
      <c r="P215" t="s">
        <v>28</v>
      </c>
      <c r="Q215" t="s">
        <v>28</v>
      </c>
      <c r="R215" s="1"/>
      <c r="S215">
        <v>1</v>
      </c>
      <c r="T215">
        <v>0</v>
      </c>
      <c r="U215">
        <v>1</v>
      </c>
      <c r="V215">
        <v>1</v>
      </c>
      <c r="W215">
        <v>0</v>
      </c>
      <c r="X215">
        <v>1</v>
      </c>
      <c r="Y215">
        <v>0</v>
      </c>
      <c r="Z215">
        <v>1</v>
      </c>
      <c r="AA215">
        <v>1</v>
      </c>
      <c r="AB215">
        <v>0</v>
      </c>
      <c r="AC215" t="s">
        <v>129</v>
      </c>
      <c r="AD215">
        <v>0</v>
      </c>
      <c r="AE215">
        <v>0</v>
      </c>
    </row>
    <row r="216" spans="1:32" x14ac:dyDescent="0.3">
      <c r="A216" t="s">
        <v>460</v>
      </c>
      <c r="B216" s="17">
        <v>46007</v>
      </c>
      <c r="C216" s="6" t="s">
        <v>237</v>
      </c>
      <c r="D216" s="6">
        <v>2</v>
      </c>
      <c r="E216">
        <v>1</v>
      </c>
      <c r="F216">
        <v>3</v>
      </c>
      <c r="G216" s="1"/>
      <c r="H216" s="4">
        <v>0.56041666666666667</v>
      </c>
      <c r="I216" s="4">
        <v>0.56736111111111109</v>
      </c>
      <c r="J216" s="5">
        <v>22.8</v>
      </c>
      <c r="K216" s="5">
        <v>23.1</v>
      </c>
      <c r="L216" t="s">
        <v>32</v>
      </c>
      <c r="M216" t="s">
        <v>50</v>
      </c>
      <c r="N216" t="s">
        <v>26</v>
      </c>
      <c r="O216" t="s">
        <v>37</v>
      </c>
      <c r="P216" t="s">
        <v>28</v>
      </c>
      <c r="Q216" t="s">
        <v>28</v>
      </c>
      <c r="R216" s="1"/>
      <c r="S216">
        <v>1</v>
      </c>
      <c r="T216">
        <v>0</v>
      </c>
      <c r="U216">
        <v>0</v>
      </c>
      <c r="V216">
        <v>1</v>
      </c>
      <c r="W216">
        <v>1</v>
      </c>
      <c r="X216">
        <v>0</v>
      </c>
      <c r="Y216">
        <v>0</v>
      </c>
      <c r="Z216">
        <v>1</v>
      </c>
      <c r="AA216">
        <v>1</v>
      </c>
      <c r="AB216">
        <v>1</v>
      </c>
      <c r="AC216" t="s">
        <v>38</v>
      </c>
      <c r="AD216">
        <v>0</v>
      </c>
      <c r="AE216">
        <v>0</v>
      </c>
    </row>
    <row r="217" spans="1:32" x14ac:dyDescent="0.3">
      <c r="A217" t="s">
        <v>461</v>
      </c>
      <c r="B217" s="17">
        <v>45998</v>
      </c>
      <c r="C217" s="6" t="s">
        <v>238</v>
      </c>
      <c r="D217" s="6">
        <v>9</v>
      </c>
      <c r="E217">
        <v>1</v>
      </c>
      <c r="F217">
        <v>1</v>
      </c>
      <c r="G217" s="1"/>
      <c r="H217" s="4">
        <v>0.56180555555555556</v>
      </c>
      <c r="I217" s="4">
        <v>0.56874999999999998</v>
      </c>
      <c r="J217" s="5">
        <v>24.2</v>
      </c>
      <c r="K217" s="8" t="s">
        <v>92</v>
      </c>
      <c r="L217" t="s">
        <v>50</v>
      </c>
      <c r="M217" t="s">
        <v>50</v>
      </c>
      <c r="N217" t="s">
        <v>26</v>
      </c>
      <c r="O217" t="s">
        <v>26</v>
      </c>
      <c r="P217" t="s">
        <v>28</v>
      </c>
      <c r="Q217" t="s">
        <v>28</v>
      </c>
      <c r="R217" s="1"/>
      <c r="S217">
        <v>1</v>
      </c>
      <c r="T217">
        <v>0</v>
      </c>
      <c r="U217">
        <v>0</v>
      </c>
      <c r="V217">
        <v>1</v>
      </c>
      <c r="W217">
        <v>1</v>
      </c>
      <c r="X217">
        <v>0</v>
      </c>
      <c r="Y217">
        <v>1</v>
      </c>
      <c r="Z217">
        <v>1</v>
      </c>
      <c r="AA217">
        <v>0</v>
      </c>
      <c r="AB217">
        <v>0</v>
      </c>
      <c r="AC217" t="s">
        <v>211</v>
      </c>
      <c r="AD217">
        <v>1</v>
      </c>
      <c r="AE217">
        <v>0</v>
      </c>
    </row>
    <row r="218" spans="1:32" x14ac:dyDescent="0.3">
      <c r="A218" t="s">
        <v>462</v>
      </c>
      <c r="B218" s="17">
        <v>45974</v>
      </c>
      <c r="C218" s="6" t="s">
        <v>236</v>
      </c>
      <c r="D218" s="6">
        <v>5</v>
      </c>
      <c r="E218">
        <v>1</v>
      </c>
      <c r="F218">
        <v>1</v>
      </c>
      <c r="G218" s="1"/>
      <c r="H218" s="4">
        <v>0.56458333333333333</v>
      </c>
      <c r="I218" s="4">
        <v>0.57152777777777775</v>
      </c>
      <c r="J218" s="5">
        <v>23.4</v>
      </c>
      <c r="K218" s="5">
        <v>23.3</v>
      </c>
      <c r="L218" t="s">
        <v>30</v>
      </c>
      <c r="M218" t="s">
        <v>27</v>
      </c>
      <c r="N218" t="s">
        <v>68</v>
      </c>
      <c r="O218" s="2" t="s">
        <v>92</v>
      </c>
      <c r="P218" t="s">
        <v>28</v>
      </c>
      <c r="Q218" t="s">
        <v>28</v>
      </c>
      <c r="R218" s="1"/>
      <c r="S218">
        <v>1</v>
      </c>
      <c r="T218">
        <v>1</v>
      </c>
      <c r="U218">
        <v>1</v>
      </c>
      <c r="V218">
        <v>1</v>
      </c>
      <c r="W218">
        <v>0</v>
      </c>
      <c r="X218">
        <v>0</v>
      </c>
      <c r="Y218">
        <v>0</v>
      </c>
      <c r="Z218">
        <v>1</v>
      </c>
      <c r="AA218">
        <v>1</v>
      </c>
      <c r="AB218">
        <v>0</v>
      </c>
      <c r="AC218" t="s">
        <v>201</v>
      </c>
      <c r="AD218">
        <v>0</v>
      </c>
      <c r="AE218">
        <v>0</v>
      </c>
    </row>
    <row r="219" spans="1:32" x14ac:dyDescent="0.3">
      <c r="A219" t="s">
        <v>463</v>
      </c>
      <c r="B219" s="17">
        <v>45974</v>
      </c>
      <c r="C219" s="6" t="s">
        <v>236</v>
      </c>
      <c r="D219" s="6">
        <v>5</v>
      </c>
      <c r="E219">
        <v>1</v>
      </c>
      <c r="F219">
        <v>1</v>
      </c>
      <c r="G219" s="1"/>
      <c r="H219" s="4">
        <v>0.56458333333333333</v>
      </c>
      <c r="I219" s="4">
        <v>0.57222222222222219</v>
      </c>
      <c r="J219" s="5">
        <v>23.4</v>
      </c>
      <c r="K219" s="5">
        <v>23.3</v>
      </c>
      <c r="L219" t="s">
        <v>27</v>
      </c>
      <c r="M219" t="s">
        <v>27</v>
      </c>
      <c r="N219" t="s">
        <v>68</v>
      </c>
      <c r="O219" s="2" t="s">
        <v>92</v>
      </c>
      <c r="P219" t="s">
        <v>28</v>
      </c>
      <c r="Q219" t="s">
        <v>28</v>
      </c>
      <c r="R219" s="1"/>
      <c r="S219">
        <v>1</v>
      </c>
      <c r="T219">
        <v>0</v>
      </c>
      <c r="U219">
        <v>1</v>
      </c>
      <c r="V219">
        <v>1</v>
      </c>
      <c r="W219">
        <v>0</v>
      </c>
      <c r="X219">
        <v>0</v>
      </c>
      <c r="Y219">
        <v>0</v>
      </c>
      <c r="Z219">
        <v>1</v>
      </c>
      <c r="AA219">
        <v>0</v>
      </c>
      <c r="AB219">
        <v>1</v>
      </c>
      <c r="AC219" t="s">
        <v>164</v>
      </c>
      <c r="AD219">
        <v>0</v>
      </c>
      <c r="AE219">
        <v>0</v>
      </c>
    </row>
    <row r="220" spans="1:32" x14ac:dyDescent="0.3">
      <c r="A220" t="s">
        <v>464</v>
      </c>
      <c r="B220" s="17">
        <v>45980</v>
      </c>
      <c r="C220" s="6" t="s">
        <v>236</v>
      </c>
      <c r="D220" s="6" t="s">
        <v>241</v>
      </c>
      <c r="E220">
        <v>2</v>
      </c>
      <c r="F220">
        <v>1</v>
      </c>
      <c r="G220" s="1"/>
      <c r="H220" s="4">
        <v>0.56458333333333333</v>
      </c>
      <c r="I220" s="4">
        <v>0.57152777777777775</v>
      </c>
      <c r="J220" s="5">
        <v>25.3</v>
      </c>
      <c r="K220" s="5">
        <v>25.4</v>
      </c>
      <c r="L220" t="s">
        <v>30</v>
      </c>
      <c r="M220" t="s">
        <v>27</v>
      </c>
      <c r="N220" t="s">
        <v>31</v>
      </c>
      <c r="O220" s="2" t="s">
        <v>92</v>
      </c>
      <c r="P220" t="s">
        <v>28</v>
      </c>
      <c r="Q220" t="s">
        <v>28</v>
      </c>
      <c r="R220" s="1"/>
      <c r="S220">
        <v>0</v>
      </c>
      <c r="T220">
        <v>0</v>
      </c>
      <c r="U220">
        <v>0</v>
      </c>
      <c r="V220">
        <v>0</v>
      </c>
      <c r="W220">
        <v>0</v>
      </c>
      <c r="X220">
        <v>0</v>
      </c>
      <c r="Y220">
        <v>0</v>
      </c>
      <c r="Z220">
        <v>1</v>
      </c>
      <c r="AA220">
        <v>1</v>
      </c>
      <c r="AB220">
        <v>1</v>
      </c>
      <c r="AD220">
        <v>3</v>
      </c>
      <c r="AE220">
        <v>0</v>
      </c>
    </row>
    <row r="221" spans="1:32" x14ac:dyDescent="0.3">
      <c r="A221" t="s">
        <v>465</v>
      </c>
      <c r="B221" s="17">
        <v>45980</v>
      </c>
      <c r="C221" s="6" t="s">
        <v>236</v>
      </c>
      <c r="D221" s="6" t="s">
        <v>241</v>
      </c>
      <c r="E221">
        <v>1</v>
      </c>
      <c r="F221">
        <v>1</v>
      </c>
      <c r="G221" s="1"/>
      <c r="H221" s="4">
        <v>0.56458333333333333</v>
      </c>
      <c r="I221" s="4">
        <v>0.57152777777777775</v>
      </c>
      <c r="J221" s="5">
        <v>25.3</v>
      </c>
      <c r="K221" s="5">
        <v>25.4</v>
      </c>
      <c r="L221" t="s">
        <v>30</v>
      </c>
      <c r="M221" t="s">
        <v>27</v>
      </c>
      <c r="N221" t="s">
        <v>35</v>
      </c>
      <c r="O221" s="2" t="s">
        <v>92</v>
      </c>
      <c r="P221" t="s">
        <v>28</v>
      </c>
      <c r="Q221" t="s">
        <v>28</v>
      </c>
      <c r="R221" s="1"/>
      <c r="S221">
        <v>0</v>
      </c>
      <c r="T221">
        <v>0</v>
      </c>
      <c r="U221">
        <v>1</v>
      </c>
      <c r="V221">
        <v>0</v>
      </c>
      <c r="W221">
        <v>0</v>
      </c>
      <c r="X221">
        <v>0</v>
      </c>
      <c r="Y221">
        <v>0</v>
      </c>
      <c r="Z221">
        <v>1</v>
      </c>
      <c r="AA221">
        <v>1</v>
      </c>
      <c r="AB221">
        <v>0</v>
      </c>
      <c r="AC221" t="s">
        <v>120</v>
      </c>
      <c r="AD221" s="2"/>
      <c r="AE221" s="2"/>
    </row>
    <row r="222" spans="1:32" x14ac:dyDescent="0.3">
      <c r="A222" t="s">
        <v>466</v>
      </c>
      <c r="B222" s="17">
        <v>45996</v>
      </c>
      <c r="C222" s="6" t="s">
        <v>238</v>
      </c>
      <c r="D222" s="6">
        <v>9</v>
      </c>
      <c r="E222">
        <v>1</v>
      </c>
      <c r="F222">
        <v>2</v>
      </c>
      <c r="G222" s="1"/>
      <c r="H222" s="4">
        <v>0.56597222222222221</v>
      </c>
      <c r="I222" s="4">
        <v>0.57430555555555551</v>
      </c>
      <c r="J222" s="5">
        <v>33.200000000000003</v>
      </c>
      <c r="K222" s="5">
        <v>33.4</v>
      </c>
      <c r="L222" t="s">
        <v>32</v>
      </c>
      <c r="M222" t="s">
        <v>32</v>
      </c>
      <c r="N222" t="s">
        <v>68</v>
      </c>
      <c r="O222" s="2" t="s">
        <v>92</v>
      </c>
      <c r="P222" t="s">
        <v>28</v>
      </c>
      <c r="Q222" t="s">
        <v>28</v>
      </c>
      <c r="R222" s="1"/>
      <c r="S222">
        <v>1</v>
      </c>
      <c r="T222">
        <v>0</v>
      </c>
      <c r="U222">
        <v>0</v>
      </c>
      <c r="V222">
        <v>1</v>
      </c>
      <c r="W222">
        <v>1</v>
      </c>
      <c r="X222">
        <v>0</v>
      </c>
      <c r="Y222">
        <v>0</v>
      </c>
      <c r="Z222">
        <v>1</v>
      </c>
      <c r="AA222">
        <v>0</v>
      </c>
      <c r="AB222">
        <v>0</v>
      </c>
      <c r="AC222" t="s">
        <v>51</v>
      </c>
      <c r="AD222">
        <v>0</v>
      </c>
      <c r="AE222">
        <v>0</v>
      </c>
    </row>
    <row r="223" spans="1:32" x14ac:dyDescent="0.3">
      <c r="A223" t="s">
        <v>467</v>
      </c>
      <c r="B223" s="17">
        <v>45996</v>
      </c>
      <c r="C223" s="6" t="s">
        <v>238</v>
      </c>
      <c r="D223" s="6">
        <v>9</v>
      </c>
      <c r="E223">
        <v>1</v>
      </c>
      <c r="F223">
        <v>2</v>
      </c>
      <c r="G223" s="3"/>
      <c r="H223" s="4">
        <v>0.56597222222222221</v>
      </c>
      <c r="I223" s="4">
        <v>0.57291666666666663</v>
      </c>
      <c r="J223" s="5">
        <v>33.200000000000003</v>
      </c>
      <c r="K223" s="5">
        <v>33.4</v>
      </c>
      <c r="L223" t="s">
        <v>32</v>
      </c>
      <c r="M223" t="s">
        <v>32</v>
      </c>
      <c r="N223" t="s">
        <v>68</v>
      </c>
      <c r="O223" s="2" t="s">
        <v>92</v>
      </c>
      <c r="P223" t="s">
        <v>28</v>
      </c>
      <c r="Q223" t="s">
        <v>28</v>
      </c>
      <c r="R223" s="1"/>
      <c r="S223">
        <v>1</v>
      </c>
      <c r="T223">
        <v>0</v>
      </c>
      <c r="U223">
        <v>0</v>
      </c>
      <c r="V223">
        <v>1</v>
      </c>
      <c r="W223">
        <v>0</v>
      </c>
      <c r="X223">
        <v>0</v>
      </c>
      <c r="Y223">
        <v>0</v>
      </c>
      <c r="Z223">
        <v>1</v>
      </c>
      <c r="AA223">
        <v>1</v>
      </c>
      <c r="AB223">
        <v>1</v>
      </c>
      <c r="AD223">
        <v>0</v>
      </c>
      <c r="AE223">
        <v>0</v>
      </c>
    </row>
    <row r="224" spans="1:32" x14ac:dyDescent="0.3">
      <c r="A224" t="s">
        <v>468</v>
      </c>
      <c r="B224" s="17">
        <v>45968</v>
      </c>
      <c r="C224" s="6" t="s">
        <v>236</v>
      </c>
      <c r="D224" s="6">
        <v>2</v>
      </c>
      <c r="E224">
        <v>1</v>
      </c>
      <c r="F224">
        <v>2</v>
      </c>
      <c r="G224" s="1"/>
      <c r="H224" s="4">
        <v>0.56736111111111109</v>
      </c>
      <c r="I224" s="4">
        <v>0.57430555555555551</v>
      </c>
      <c r="J224" s="5">
        <v>25.1</v>
      </c>
      <c r="K224" s="5">
        <v>25.4</v>
      </c>
      <c r="L224" t="s">
        <v>27</v>
      </c>
      <c r="M224" t="s">
        <v>27</v>
      </c>
      <c r="N224" t="s">
        <v>35</v>
      </c>
      <c r="O224" s="2" t="s">
        <v>92</v>
      </c>
      <c r="P224" t="s">
        <v>28</v>
      </c>
      <c r="Q224" t="s">
        <v>28</v>
      </c>
      <c r="R224" s="1"/>
      <c r="S224">
        <v>1</v>
      </c>
      <c r="T224">
        <v>1</v>
      </c>
      <c r="U224">
        <v>1</v>
      </c>
      <c r="V224">
        <v>1</v>
      </c>
      <c r="W224">
        <v>0</v>
      </c>
      <c r="X224">
        <v>0</v>
      </c>
      <c r="Y224">
        <v>0</v>
      </c>
      <c r="Z224">
        <v>0</v>
      </c>
      <c r="AA224">
        <v>0</v>
      </c>
      <c r="AB224">
        <v>0</v>
      </c>
      <c r="AC224" t="s">
        <v>137</v>
      </c>
      <c r="AD224">
        <v>0</v>
      </c>
      <c r="AE224">
        <v>0</v>
      </c>
    </row>
    <row r="225" spans="1:32" x14ac:dyDescent="0.3">
      <c r="A225" t="s">
        <v>469</v>
      </c>
      <c r="B225" s="17">
        <v>45968</v>
      </c>
      <c r="C225" s="6" t="s">
        <v>236</v>
      </c>
      <c r="D225" s="6">
        <v>2</v>
      </c>
      <c r="E225">
        <v>1</v>
      </c>
      <c r="F225">
        <v>2</v>
      </c>
      <c r="G225" s="1"/>
      <c r="H225" s="4">
        <v>0.56736111111111109</v>
      </c>
      <c r="I225" s="4">
        <v>0.57499999999999996</v>
      </c>
      <c r="J225" s="5">
        <v>25.1</v>
      </c>
      <c r="K225" s="5">
        <v>25.4</v>
      </c>
      <c r="L225" t="s">
        <v>25</v>
      </c>
      <c r="M225" t="s">
        <v>25</v>
      </c>
      <c r="N225" t="s">
        <v>35</v>
      </c>
      <c r="O225" s="2" t="s">
        <v>92</v>
      </c>
      <c r="P225" t="s">
        <v>28</v>
      </c>
      <c r="Q225" t="s">
        <v>28</v>
      </c>
      <c r="R225" s="1"/>
      <c r="S225">
        <v>1</v>
      </c>
      <c r="T225">
        <v>0</v>
      </c>
      <c r="U225">
        <v>1</v>
      </c>
      <c r="V225">
        <v>1</v>
      </c>
      <c r="W225">
        <v>0</v>
      </c>
      <c r="X225">
        <v>0</v>
      </c>
      <c r="Y225">
        <v>0</v>
      </c>
      <c r="Z225">
        <v>1</v>
      </c>
      <c r="AA225">
        <v>1</v>
      </c>
      <c r="AB225">
        <v>0</v>
      </c>
      <c r="AC225" t="s">
        <v>130</v>
      </c>
      <c r="AD225">
        <v>0</v>
      </c>
      <c r="AE225">
        <v>0</v>
      </c>
    </row>
    <row r="226" spans="1:32" x14ac:dyDescent="0.3">
      <c r="A226" t="s">
        <v>470</v>
      </c>
      <c r="B226" s="17">
        <v>46007</v>
      </c>
      <c r="C226" s="6" t="s">
        <v>237</v>
      </c>
      <c r="D226" s="6">
        <v>2</v>
      </c>
      <c r="E226">
        <v>1</v>
      </c>
      <c r="F226">
        <v>4</v>
      </c>
      <c r="G226" s="1"/>
      <c r="H226" s="4">
        <v>0.56805555555555554</v>
      </c>
      <c r="I226" s="4">
        <v>0.57499999999999996</v>
      </c>
      <c r="J226" s="5">
        <v>23.1</v>
      </c>
      <c r="K226" s="5">
        <v>22.9</v>
      </c>
      <c r="L226" t="s">
        <v>50</v>
      </c>
      <c r="M226" t="s">
        <v>50</v>
      </c>
      <c r="N226" t="s">
        <v>37</v>
      </c>
      <c r="O226" t="s">
        <v>37</v>
      </c>
      <c r="P226" t="s">
        <v>28</v>
      </c>
      <c r="Q226" t="s">
        <v>28</v>
      </c>
      <c r="R226" s="1"/>
      <c r="S226">
        <v>1</v>
      </c>
      <c r="T226">
        <v>0</v>
      </c>
      <c r="U226">
        <v>0</v>
      </c>
      <c r="V226">
        <v>1</v>
      </c>
      <c r="W226">
        <v>0</v>
      </c>
      <c r="X226">
        <v>0</v>
      </c>
      <c r="Y226">
        <v>0</v>
      </c>
      <c r="Z226">
        <v>1</v>
      </c>
      <c r="AA226">
        <v>0</v>
      </c>
      <c r="AB226">
        <v>1</v>
      </c>
      <c r="AC226" t="s">
        <v>181</v>
      </c>
      <c r="AD226">
        <v>0</v>
      </c>
      <c r="AE226">
        <v>0</v>
      </c>
    </row>
    <row r="227" spans="1:32" x14ac:dyDescent="0.3">
      <c r="A227" t="s">
        <v>471</v>
      </c>
      <c r="B227" s="17">
        <v>45998</v>
      </c>
      <c r="C227" s="6" t="s">
        <v>238</v>
      </c>
      <c r="D227" s="6">
        <v>9</v>
      </c>
      <c r="E227">
        <v>1</v>
      </c>
      <c r="F227">
        <v>2</v>
      </c>
      <c r="G227" s="1"/>
      <c r="H227" s="4">
        <v>0.56944444444444442</v>
      </c>
      <c r="I227" s="4">
        <v>0.57708333333333328</v>
      </c>
      <c r="J227" s="5">
        <v>23</v>
      </c>
      <c r="K227" s="5">
        <v>23.8</v>
      </c>
      <c r="L227" t="s">
        <v>50</v>
      </c>
      <c r="M227" t="s">
        <v>50</v>
      </c>
      <c r="N227" t="s">
        <v>26</v>
      </c>
      <c r="O227" t="s">
        <v>26</v>
      </c>
      <c r="P227" t="s">
        <v>28</v>
      </c>
      <c r="Q227" t="s">
        <v>28</v>
      </c>
      <c r="R227" s="1"/>
      <c r="S227">
        <v>1</v>
      </c>
      <c r="T227">
        <v>0</v>
      </c>
      <c r="U227">
        <v>0</v>
      </c>
      <c r="V227">
        <v>1</v>
      </c>
      <c r="W227">
        <v>1</v>
      </c>
      <c r="X227">
        <v>0</v>
      </c>
      <c r="Y227">
        <v>0</v>
      </c>
      <c r="Z227">
        <v>0</v>
      </c>
      <c r="AA227">
        <v>0</v>
      </c>
      <c r="AB227">
        <v>1</v>
      </c>
      <c r="AC227" t="s">
        <v>211</v>
      </c>
      <c r="AD227">
        <v>3</v>
      </c>
      <c r="AE227">
        <v>0</v>
      </c>
      <c r="AF227" s="2" t="s">
        <v>85</v>
      </c>
    </row>
    <row r="228" spans="1:32" x14ac:dyDescent="0.3">
      <c r="A228" t="s">
        <v>472</v>
      </c>
      <c r="B228" s="17">
        <v>45967</v>
      </c>
      <c r="C228" s="6" t="s">
        <v>236</v>
      </c>
      <c r="D228" s="6">
        <v>4</v>
      </c>
      <c r="E228">
        <v>1</v>
      </c>
      <c r="F228">
        <v>1</v>
      </c>
      <c r="G228" s="1"/>
      <c r="H228" s="4">
        <v>0.57013888888888886</v>
      </c>
      <c r="I228" s="4">
        <v>0.57708333333333328</v>
      </c>
      <c r="J228" s="5">
        <v>21.5</v>
      </c>
      <c r="K228" s="5">
        <v>21.7</v>
      </c>
      <c r="L228" t="s">
        <v>50</v>
      </c>
      <c r="M228" t="s">
        <v>50</v>
      </c>
      <c r="N228" t="s">
        <v>37</v>
      </c>
      <c r="O228" s="2" t="s">
        <v>92</v>
      </c>
      <c r="P228" s="2" t="s">
        <v>92</v>
      </c>
      <c r="Q228" s="2" t="s">
        <v>92</v>
      </c>
      <c r="R228" s="1"/>
      <c r="S228">
        <v>1</v>
      </c>
      <c r="T228">
        <v>0</v>
      </c>
      <c r="U228">
        <v>1</v>
      </c>
      <c r="V228">
        <v>1</v>
      </c>
      <c r="W228">
        <v>0</v>
      </c>
      <c r="X228">
        <v>1</v>
      </c>
      <c r="Y228">
        <v>0</v>
      </c>
      <c r="Z228">
        <v>0</v>
      </c>
      <c r="AA228">
        <v>1</v>
      </c>
      <c r="AB228">
        <v>0</v>
      </c>
      <c r="AD228">
        <v>0</v>
      </c>
      <c r="AE228">
        <v>0</v>
      </c>
    </row>
    <row r="229" spans="1:32" x14ac:dyDescent="0.3">
      <c r="A229" t="s">
        <v>473</v>
      </c>
      <c r="B229" s="17">
        <v>45967</v>
      </c>
      <c r="C229" s="6" t="s">
        <v>236</v>
      </c>
      <c r="D229" s="6">
        <v>4</v>
      </c>
      <c r="E229">
        <v>1</v>
      </c>
      <c r="F229">
        <v>1</v>
      </c>
      <c r="G229" s="1"/>
      <c r="H229" s="4">
        <v>0.57013888888888886</v>
      </c>
      <c r="I229" s="4">
        <v>0.57708333333333328</v>
      </c>
      <c r="J229" s="5">
        <v>21.5</v>
      </c>
      <c r="K229" s="5">
        <v>21.7</v>
      </c>
      <c r="L229" t="s">
        <v>50</v>
      </c>
      <c r="M229" t="s">
        <v>50</v>
      </c>
      <c r="N229" t="s">
        <v>37</v>
      </c>
      <c r="O229" s="2" t="s">
        <v>92</v>
      </c>
      <c r="P229" s="2" t="s">
        <v>92</v>
      </c>
      <c r="Q229" s="2" t="s">
        <v>92</v>
      </c>
      <c r="R229" s="1"/>
      <c r="S229">
        <v>1</v>
      </c>
      <c r="T229">
        <v>0</v>
      </c>
      <c r="U229">
        <v>1</v>
      </c>
      <c r="V229">
        <v>1</v>
      </c>
      <c r="W229">
        <v>0</v>
      </c>
      <c r="X229">
        <v>0</v>
      </c>
      <c r="Y229">
        <v>0</v>
      </c>
      <c r="Z229">
        <v>1</v>
      </c>
      <c r="AA229">
        <v>1</v>
      </c>
      <c r="AB229">
        <v>0</v>
      </c>
      <c r="AC229" t="s">
        <v>198</v>
      </c>
      <c r="AD229">
        <v>0</v>
      </c>
      <c r="AE229">
        <v>0</v>
      </c>
    </row>
    <row r="230" spans="1:32" x14ac:dyDescent="0.3">
      <c r="A230" t="s">
        <v>474</v>
      </c>
      <c r="B230" s="17">
        <v>45979</v>
      </c>
      <c r="C230" s="6" t="s">
        <v>238</v>
      </c>
      <c r="D230" s="6">
        <v>2</v>
      </c>
      <c r="E230">
        <v>1</v>
      </c>
      <c r="F230">
        <v>1</v>
      </c>
      <c r="G230" s="1"/>
      <c r="H230" s="4">
        <v>0.57430555555555551</v>
      </c>
      <c r="I230" s="4">
        <v>0.58125000000000004</v>
      </c>
      <c r="J230" s="5">
        <v>23.5</v>
      </c>
      <c r="K230" s="5">
        <v>23.5</v>
      </c>
      <c r="L230" t="s">
        <v>56</v>
      </c>
      <c r="M230" t="s">
        <v>56</v>
      </c>
      <c r="N230" t="s">
        <v>31</v>
      </c>
      <c r="O230" s="2" t="s">
        <v>92</v>
      </c>
      <c r="P230" t="s">
        <v>28</v>
      </c>
      <c r="Q230" t="s">
        <v>28</v>
      </c>
      <c r="R230" s="1"/>
      <c r="S230">
        <v>1</v>
      </c>
      <c r="T230">
        <v>1</v>
      </c>
      <c r="U230">
        <v>1</v>
      </c>
      <c r="V230">
        <v>0</v>
      </c>
      <c r="W230">
        <v>0</v>
      </c>
      <c r="X230">
        <v>0</v>
      </c>
      <c r="Y230">
        <v>0</v>
      </c>
      <c r="Z230">
        <v>1</v>
      </c>
      <c r="AA230">
        <v>1</v>
      </c>
      <c r="AB230">
        <v>1</v>
      </c>
      <c r="AC230" t="s">
        <v>38</v>
      </c>
      <c r="AD230">
        <v>0</v>
      </c>
      <c r="AE230">
        <v>0</v>
      </c>
    </row>
    <row r="231" spans="1:32" x14ac:dyDescent="0.3">
      <c r="A231" t="s">
        <v>475</v>
      </c>
      <c r="B231" s="17">
        <v>45979</v>
      </c>
      <c r="C231" s="6" t="s">
        <v>238</v>
      </c>
      <c r="D231" s="6">
        <v>2</v>
      </c>
      <c r="E231">
        <v>1</v>
      </c>
      <c r="F231">
        <v>1</v>
      </c>
      <c r="G231" s="1"/>
      <c r="H231" s="4">
        <v>0.57430555555555551</v>
      </c>
      <c r="I231" s="4">
        <v>0.58125000000000004</v>
      </c>
      <c r="J231" s="5">
        <v>23.5</v>
      </c>
      <c r="K231" s="5">
        <v>23.5</v>
      </c>
      <c r="L231" t="s">
        <v>56</v>
      </c>
      <c r="M231" t="s">
        <v>56</v>
      </c>
      <c r="N231" t="s">
        <v>31</v>
      </c>
      <c r="O231" s="2" t="s">
        <v>92</v>
      </c>
      <c r="P231" t="s">
        <v>28</v>
      </c>
      <c r="Q231" t="s">
        <v>28</v>
      </c>
      <c r="R231" s="1"/>
      <c r="S231">
        <v>1</v>
      </c>
      <c r="T231">
        <v>1</v>
      </c>
      <c r="U231">
        <v>0</v>
      </c>
      <c r="V231">
        <v>1</v>
      </c>
      <c r="W231">
        <v>0</v>
      </c>
      <c r="X231">
        <v>0</v>
      </c>
      <c r="Y231">
        <v>0</v>
      </c>
      <c r="Z231">
        <v>1</v>
      </c>
      <c r="AA231">
        <v>1</v>
      </c>
      <c r="AB231">
        <v>1</v>
      </c>
      <c r="AC231" t="s">
        <v>158</v>
      </c>
      <c r="AD231">
        <v>0</v>
      </c>
      <c r="AE231">
        <v>0</v>
      </c>
    </row>
    <row r="232" spans="1:32" x14ac:dyDescent="0.3">
      <c r="A232" t="s">
        <v>476</v>
      </c>
      <c r="B232" s="17">
        <v>45974</v>
      </c>
      <c r="C232" s="6" t="s">
        <v>236</v>
      </c>
      <c r="D232" s="6" t="s">
        <v>242</v>
      </c>
      <c r="E232">
        <v>1</v>
      </c>
      <c r="F232">
        <v>2</v>
      </c>
      <c r="G232" s="1"/>
      <c r="H232" s="4">
        <v>0.57708333333333328</v>
      </c>
      <c r="I232" s="4">
        <v>0.58958333333333335</v>
      </c>
      <c r="J232" s="5">
        <v>22.6</v>
      </c>
      <c r="K232" s="5">
        <v>23</v>
      </c>
      <c r="L232" t="s">
        <v>30</v>
      </c>
      <c r="M232" t="s">
        <v>27</v>
      </c>
      <c r="N232" t="s">
        <v>35</v>
      </c>
      <c r="O232" s="2" t="s">
        <v>92</v>
      </c>
      <c r="P232" t="s">
        <v>28</v>
      </c>
      <c r="Q232" t="s">
        <v>28</v>
      </c>
      <c r="R232" s="1"/>
      <c r="S232">
        <v>1</v>
      </c>
      <c r="T232">
        <v>0</v>
      </c>
      <c r="U232">
        <v>1</v>
      </c>
      <c r="V232">
        <v>1</v>
      </c>
      <c r="W232">
        <v>0</v>
      </c>
      <c r="X232">
        <v>0</v>
      </c>
      <c r="Y232">
        <v>0</v>
      </c>
      <c r="Z232">
        <v>1</v>
      </c>
      <c r="AA232">
        <v>1</v>
      </c>
      <c r="AB232">
        <v>0</v>
      </c>
      <c r="AC232" t="s">
        <v>51</v>
      </c>
      <c r="AD232">
        <v>0</v>
      </c>
      <c r="AE232">
        <v>0</v>
      </c>
    </row>
    <row r="233" spans="1:32" x14ac:dyDescent="0.3">
      <c r="A233" t="s">
        <v>477</v>
      </c>
      <c r="B233" s="17">
        <v>45967</v>
      </c>
      <c r="C233" s="6" t="s">
        <v>236</v>
      </c>
      <c r="D233" s="6">
        <v>4</v>
      </c>
      <c r="E233">
        <v>1</v>
      </c>
      <c r="F233">
        <v>2</v>
      </c>
      <c r="G233" s="1"/>
      <c r="H233" s="4">
        <v>0.57847222222222228</v>
      </c>
      <c r="I233" s="7" t="s">
        <v>92</v>
      </c>
      <c r="J233" s="5">
        <v>21.7</v>
      </c>
      <c r="K233" s="5">
        <v>22</v>
      </c>
      <c r="L233" t="s">
        <v>50</v>
      </c>
      <c r="M233" t="s">
        <v>50</v>
      </c>
      <c r="N233" t="s">
        <v>37</v>
      </c>
      <c r="O233" s="2" t="s">
        <v>92</v>
      </c>
      <c r="P233" s="2" t="s">
        <v>92</v>
      </c>
      <c r="Q233" s="2" t="s">
        <v>92</v>
      </c>
      <c r="R233" s="1"/>
      <c r="S233">
        <v>1</v>
      </c>
      <c r="T233">
        <v>0</v>
      </c>
      <c r="U233">
        <v>1</v>
      </c>
      <c r="V233">
        <v>0</v>
      </c>
      <c r="W233">
        <v>0</v>
      </c>
      <c r="X233">
        <v>0</v>
      </c>
      <c r="Y233">
        <v>0</v>
      </c>
      <c r="Z233">
        <v>1</v>
      </c>
      <c r="AA233">
        <v>1</v>
      </c>
      <c r="AB233">
        <v>0</v>
      </c>
      <c r="AC233" t="s">
        <v>155</v>
      </c>
      <c r="AD233">
        <v>0</v>
      </c>
      <c r="AE233">
        <v>0</v>
      </c>
    </row>
    <row r="234" spans="1:32" x14ac:dyDescent="0.3">
      <c r="A234" t="s">
        <v>478</v>
      </c>
      <c r="B234" s="17">
        <v>45967</v>
      </c>
      <c r="C234" s="6" t="s">
        <v>236</v>
      </c>
      <c r="D234" s="6">
        <v>4</v>
      </c>
      <c r="E234">
        <v>1</v>
      </c>
      <c r="F234">
        <v>2</v>
      </c>
      <c r="G234" s="1"/>
      <c r="H234" s="4">
        <v>0.57847222222222228</v>
      </c>
      <c r="I234" s="4">
        <v>0.58611111111111114</v>
      </c>
      <c r="J234" s="5">
        <v>21.7</v>
      </c>
      <c r="K234" s="5">
        <v>22</v>
      </c>
      <c r="L234" t="s">
        <v>50</v>
      </c>
      <c r="M234" t="s">
        <v>50</v>
      </c>
      <c r="N234" t="s">
        <v>37</v>
      </c>
      <c r="O234" s="2" t="s">
        <v>92</v>
      </c>
      <c r="P234" s="2" t="s">
        <v>92</v>
      </c>
      <c r="Q234" s="2" t="s">
        <v>92</v>
      </c>
      <c r="R234" s="1"/>
      <c r="S234">
        <v>0</v>
      </c>
      <c r="T234">
        <v>0</v>
      </c>
      <c r="U234">
        <v>1</v>
      </c>
      <c r="V234">
        <v>1</v>
      </c>
      <c r="W234">
        <v>0</v>
      </c>
      <c r="X234">
        <v>0</v>
      </c>
      <c r="Y234">
        <v>0</v>
      </c>
      <c r="Z234">
        <v>0</v>
      </c>
      <c r="AA234">
        <v>1</v>
      </c>
      <c r="AB234">
        <v>1</v>
      </c>
      <c r="AC234" t="s">
        <v>235</v>
      </c>
    </row>
    <row r="235" spans="1:32" x14ac:dyDescent="0.3">
      <c r="A235" t="s">
        <v>479</v>
      </c>
      <c r="B235" s="17">
        <v>46001</v>
      </c>
      <c r="C235" s="6" t="s">
        <v>238</v>
      </c>
      <c r="D235" s="6">
        <v>2</v>
      </c>
      <c r="E235">
        <v>1</v>
      </c>
      <c r="F235">
        <v>1</v>
      </c>
      <c r="G235" s="1"/>
      <c r="H235" s="4">
        <v>0.57916666666666672</v>
      </c>
      <c r="I235" s="4">
        <v>0.58611111111111114</v>
      </c>
      <c r="J235" s="5">
        <v>28.5</v>
      </c>
      <c r="K235" s="5">
        <v>28.8</v>
      </c>
      <c r="L235" t="s">
        <v>50</v>
      </c>
      <c r="M235" t="s">
        <v>50</v>
      </c>
      <c r="N235" t="s">
        <v>37</v>
      </c>
      <c r="O235" t="s">
        <v>26</v>
      </c>
      <c r="P235" t="s">
        <v>28</v>
      </c>
      <c r="Q235" t="s">
        <v>28</v>
      </c>
      <c r="R235" s="1"/>
      <c r="S235">
        <v>1</v>
      </c>
      <c r="T235">
        <v>0</v>
      </c>
      <c r="U235">
        <v>0</v>
      </c>
      <c r="V235">
        <v>1</v>
      </c>
      <c r="W235">
        <v>1</v>
      </c>
      <c r="X235">
        <v>0</v>
      </c>
      <c r="Y235">
        <v>0</v>
      </c>
      <c r="Z235">
        <v>1</v>
      </c>
      <c r="AA235">
        <v>1</v>
      </c>
      <c r="AB235">
        <v>1</v>
      </c>
      <c r="AD235">
        <v>0</v>
      </c>
      <c r="AE235">
        <v>0</v>
      </c>
    </row>
    <row r="236" spans="1:32" x14ac:dyDescent="0.3">
      <c r="A236" t="s">
        <v>480</v>
      </c>
      <c r="B236" s="17">
        <v>46001</v>
      </c>
      <c r="C236" s="6" t="s">
        <v>238</v>
      </c>
      <c r="D236" s="6">
        <v>2</v>
      </c>
      <c r="E236">
        <v>1</v>
      </c>
      <c r="F236">
        <v>1</v>
      </c>
      <c r="G236" s="1"/>
      <c r="H236" s="4">
        <v>0.57916666666666672</v>
      </c>
      <c r="I236" s="4">
        <v>0.58611111111111114</v>
      </c>
      <c r="J236" s="5">
        <v>28.5</v>
      </c>
      <c r="K236" s="5">
        <v>28.8</v>
      </c>
      <c r="L236" t="s">
        <v>50</v>
      </c>
      <c r="M236" t="s">
        <v>50</v>
      </c>
      <c r="N236" t="s">
        <v>37</v>
      </c>
      <c r="O236" t="s">
        <v>37</v>
      </c>
      <c r="P236" t="s">
        <v>28</v>
      </c>
      <c r="Q236" t="s">
        <v>28</v>
      </c>
      <c r="R236" s="1"/>
      <c r="S236">
        <v>1</v>
      </c>
      <c r="T236">
        <v>0</v>
      </c>
      <c r="U236">
        <v>0</v>
      </c>
      <c r="V236">
        <v>1</v>
      </c>
      <c r="W236">
        <v>0</v>
      </c>
      <c r="X236">
        <v>0</v>
      </c>
      <c r="Y236">
        <v>0</v>
      </c>
      <c r="Z236">
        <v>1</v>
      </c>
      <c r="AA236">
        <v>1</v>
      </c>
      <c r="AB236">
        <v>1</v>
      </c>
      <c r="AD236">
        <v>0</v>
      </c>
      <c r="AE236">
        <v>0</v>
      </c>
    </row>
    <row r="237" spans="1:32" x14ac:dyDescent="0.3">
      <c r="A237" t="s">
        <v>481</v>
      </c>
      <c r="B237" s="17">
        <v>46008</v>
      </c>
      <c r="C237" s="6" t="s">
        <v>238</v>
      </c>
      <c r="D237" s="6">
        <v>1</v>
      </c>
      <c r="E237">
        <v>1</v>
      </c>
      <c r="F237">
        <v>1</v>
      </c>
      <c r="G237" s="1"/>
      <c r="H237" s="4">
        <v>0.58194444444444449</v>
      </c>
      <c r="I237" s="4">
        <v>0.58888888888888891</v>
      </c>
      <c r="J237" s="5">
        <v>30.5</v>
      </c>
      <c r="K237" s="5">
        <v>30.5</v>
      </c>
      <c r="L237" t="s">
        <v>56</v>
      </c>
      <c r="M237" t="s">
        <v>56</v>
      </c>
      <c r="N237" t="s">
        <v>37</v>
      </c>
      <c r="O237" t="s">
        <v>35</v>
      </c>
      <c r="P237" t="s">
        <v>28</v>
      </c>
      <c r="Q237" t="s">
        <v>28</v>
      </c>
      <c r="R237" s="1"/>
      <c r="S237">
        <v>0</v>
      </c>
      <c r="T237">
        <v>0</v>
      </c>
      <c r="U237">
        <v>0</v>
      </c>
      <c r="V237">
        <v>1</v>
      </c>
      <c r="W237">
        <v>0</v>
      </c>
      <c r="X237">
        <v>0</v>
      </c>
      <c r="Y237">
        <v>0</v>
      </c>
      <c r="Z237">
        <v>1</v>
      </c>
      <c r="AA237">
        <v>0</v>
      </c>
      <c r="AB237">
        <v>1</v>
      </c>
      <c r="AC237" t="s">
        <v>222</v>
      </c>
      <c r="AD237">
        <v>0</v>
      </c>
      <c r="AE237">
        <v>0</v>
      </c>
    </row>
    <row r="238" spans="1:32" x14ac:dyDescent="0.3">
      <c r="A238" t="s">
        <v>482</v>
      </c>
      <c r="B238" s="17">
        <v>46008</v>
      </c>
      <c r="C238" s="6" t="s">
        <v>238</v>
      </c>
      <c r="D238" s="6">
        <v>1</v>
      </c>
      <c r="E238">
        <v>1</v>
      </c>
      <c r="F238">
        <v>1</v>
      </c>
      <c r="G238" s="1"/>
      <c r="H238" s="4">
        <v>0.58194444444444449</v>
      </c>
      <c r="I238" s="4">
        <v>0.58888888888888891</v>
      </c>
      <c r="J238" s="5">
        <v>30.5</v>
      </c>
      <c r="K238" s="5">
        <v>30.5</v>
      </c>
      <c r="L238" t="s">
        <v>56</v>
      </c>
      <c r="M238" t="s">
        <v>56</v>
      </c>
      <c r="N238" t="s">
        <v>26</v>
      </c>
      <c r="O238" t="s">
        <v>31</v>
      </c>
      <c r="P238" t="s">
        <v>28</v>
      </c>
      <c r="Q238" t="s">
        <v>28</v>
      </c>
      <c r="R238" s="1"/>
      <c r="S238">
        <v>0</v>
      </c>
      <c r="T238">
        <v>0</v>
      </c>
      <c r="U238">
        <v>0</v>
      </c>
      <c r="V238">
        <v>0</v>
      </c>
      <c r="W238">
        <v>1</v>
      </c>
      <c r="X238">
        <v>0</v>
      </c>
      <c r="Y238">
        <v>0</v>
      </c>
      <c r="Z238">
        <v>1</v>
      </c>
      <c r="AA238">
        <v>1</v>
      </c>
      <c r="AB238">
        <v>1</v>
      </c>
      <c r="AD238">
        <v>0</v>
      </c>
      <c r="AE238">
        <v>0</v>
      </c>
    </row>
    <row r="239" spans="1:32" x14ac:dyDescent="0.3">
      <c r="A239" t="s">
        <v>483</v>
      </c>
      <c r="B239" s="17">
        <v>45974</v>
      </c>
      <c r="C239" s="6" t="s">
        <v>236</v>
      </c>
      <c r="D239" s="6" t="s">
        <v>242</v>
      </c>
      <c r="E239">
        <v>1</v>
      </c>
      <c r="F239">
        <v>1</v>
      </c>
      <c r="G239" s="1"/>
      <c r="H239" s="4">
        <v>0.58263888888888893</v>
      </c>
      <c r="I239" s="4">
        <v>0.58958333333333335</v>
      </c>
      <c r="J239" s="5">
        <v>22.6</v>
      </c>
      <c r="K239" s="5">
        <v>23</v>
      </c>
      <c r="L239" t="s">
        <v>30</v>
      </c>
      <c r="M239" t="s">
        <v>27</v>
      </c>
      <c r="N239" t="s">
        <v>35</v>
      </c>
      <c r="O239" s="2" t="s">
        <v>92</v>
      </c>
      <c r="P239" t="s">
        <v>28</v>
      </c>
      <c r="Q239" t="s">
        <v>28</v>
      </c>
      <c r="R239" s="1"/>
      <c r="S239">
        <v>1</v>
      </c>
      <c r="T239">
        <v>0</v>
      </c>
      <c r="U239">
        <v>1</v>
      </c>
      <c r="V239">
        <v>1</v>
      </c>
      <c r="W239">
        <v>0</v>
      </c>
      <c r="X239">
        <v>0</v>
      </c>
      <c r="Y239">
        <v>0</v>
      </c>
      <c r="Z239">
        <v>0</v>
      </c>
      <c r="AA239">
        <v>0</v>
      </c>
      <c r="AB239">
        <v>0</v>
      </c>
      <c r="AD239">
        <v>3</v>
      </c>
      <c r="AE239">
        <v>0</v>
      </c>
    </row>
    <row r="240" spans="1:32" x14ac:dyDescent="0.3">
      <c r="A240" t="s">
        <v>484</v>
      </c>
      <c r="B240" s="17">
        <v>45979</v>
      </c>
      <c r="C240" s="6" t="s">
        <v>238</v>
      </c>
      <c r="D240" s="6">
        <v>3</v>
      </c>
      <c r="E240">
        <v>1</v>
      </c>
      <c r="F240">
        <v>1</v>
      </c>
      <c r="G240" s="1"/>
      <c r="H240" s="4">
        <v>0.58402777777777781</v>
      </c>
      <c r="I240" s="4">
        <v>0.59097222222222223</v>
      </c>
      <c r="J240" s="5">
        <v>23.5</v>
      </c>
      <c r="K240" s="5">
        <v>24.4</v>
      </c>
      <c r="L240" t="s">
        <v>56</v>
      </c>
      <c r="M240" t="s">
        <v>56</v>
      </c>
      <c r="N240" t="s">
        <v>35</v>
      </c>
      <c r="O240" s="2" t="s">
        <v>92</v>
      </c>
      <c r="P240" t="s">
        <v>28</v>
      </c>
      <c r="Q240" t="s">
        <v>28</v>
      </c>
      <c r="R240" s="1"/>
      <c r="S240">
        <v>0</v>
      </c>
      <c r="T240">
        <v>0</v>
      </c>
      <c r="U240">
        <v>1</v>
      </c>
      <c r="V240">
        <v>1</v>
      </c>
      <c r="W240">
        <v>0</v>
      </c>
      <c r="X240">
        <v>1</v>
      </c>
      <c r="Y240">
        <v>0</v>
      </c>
      <c r="Z240">
        <v>1</v>
      </c>
      <c r="AA240">
        <v>1</v>
      </c>
      <c r="AB240">
        <v>1</v>
      </c>
      <c r="AC240" t="s">
        <v>157</v>
      </c>
      <c r="AD240">
        <v>0</v>
      </c>
      <c r="AE240">
        <v>0</v>
      </c>
    </row>
    <row r="241" spans="1:32" x14ac:dyDescent="0.3">
      <c r="A241" t="s">
        <v>485</v>
      </c>
      <c r="B241" s="17">
        <v>45979</v>
      </c>
      <c r="C241" s="6" t="s">
        <v>238</v>
      </c>
      <c r="D241" s="6">
        <v>3</v>
      </c>
      <c r="E241">
        <v>1</v>
      </c>
      <c r="F241">
        <v>1</v>
      </c>
      <c r="G241" s="1"/>
      <c r="H241" s="4">
        <v>0.58402777777777781</v>
      </c>
      <c r="I241" s="4">
        <v>0.59166666666666667</v>
      </c>
      <c r="J241" s="5">
        <v>23.5</v>
      </c>
      <c r="K241" s="5">
        <v>24.4</v>
      </c>
      <c r="L241" t="s">
        <v>56</v>
      </c>
      <c r="M241" t="s">
        <v>56</v>
      </c>
      <c r="N241" t="s">
        <v>35</v>
      </c>
      <c r="O241" s="2" t="s">
        <v>92</v>
      </c>
      <c r="P241" t="s">
        <v>28</v>
      </c>
      <c r="Q241" t="s">
        <v>28</v>
      </c>
      <c r="R241" s="1"/>
      <c r="S241">
        <v>1</v>
      </c>
      <c r="T241">
        <v>0</v>
      </c>
      <c r="U241">
        <v>1</v>
      </c>
      <c r="V241">
        <v>0</v>
      </c>
      <c r="W241">
        <v>0</v>
      </c>
      <c r="X241">
        <v>0</v>
      </c>
      <c r="Y241">
        <v>0</v>
      </c>
      <c r="Z241">
        <v>1</v>
      </c>
      <c r="AA241">
        <v>1</v>
      </c>
      <c r="AB241">
        <v>1</v>
      </c>
      <c r="AC241" t="s">
        <v>159</v>
      </c>
      <c r="AD241">
        <v>0</v>
      </c>
      <c r="AE241">
        <v>0</v>
      </c>
    </row>
    <row r="242" spans="1:32" x14ac:dyDescent="0.3">
      <c r="A242" t="s">
        <v>486</v>
      </c>
      <c r="B242" s="17">
        <v>46007</v>
      </c>
      <c r="C242" s="6" t="s">
        <v>237</v>
      </c>
      <c r="D242" s="6">
        <v>5</v>
      </c>
      <c r="E242">
        <v>1</v>
      </c>
      <c r="F242">
        <v>1</v>
      </c>
      <c r="G242" s="1"/>
      <c r="H242" s="4">
        <v>0.58402777777777781</v>
      </c>
      <c r="I242" s="4">
        <v>0.59097222222222223</v>
      </c>
      <c r="J242" s="5">
        <v>23.6</v>
      </c>
      <c r="K242" s="5">
        <v>24.1</v>
      </c>
      <c r="L242" t="s">
        <v>50</v>
      </c>
      <c r="M242" t="s">
        <v>50</v>
      </c>
      <c r="N242" t="s">
        <v>37</v>
      </c>
      <c r="O242" t="s">
        <v>26</v>
      </c>
      <c r="P242" t="s">
        <v>28</v>
      </c>
      <c r="Q242" t="s">
        <v>28</v>
      </c>
      <c r="R242" s="1"/>
      <c r="S242">
        <v>0</v>
      </c>
      <c r="T242">
        <v>0</v>
      </c>
      <c r="U242">
        <v>1</v>
      </c>
      <c r="V242">
        <v>1</v>
      </c>
      <c r="W242">
        <v>1</v>
      </c>
      <c r="X242">
        <v>0</v>
      </c>
      <c r="Y242">
        <v>0</v>
      </c>
      <c r="Z242">
        <v>0</v>
      </c>
      <c r="AA242">
        <v>1</v>
      </c>
      <c r="AB242">
        <v>1</v>
      </c>
      <c r="AC242" t="s">
        <v>221</v>
      </c>
      <c r="AD242">
        <v>0</v>
      </c>
      <c r="AE242">
        <v>0</v>
      </c>
    </row>
    <row r="243" spans="1:32" x14ac:dyDescent="0.3">
      <c r="A243" t="s">
        <v>487</v>
      </c>
      <c r="B243" s="17">
        <v>45973</v>
      </c>
      <c r="C243" s="6" t="s">
        <v>236</v>
      </c>
      <c r="D243" s="6">
        <v>7</v>
      </c>
      <c r="E243">
        <v>1</v>
      </c>
      <c r="F243">
        <v>1</v>
      </c>
      <c r="G243" s="1"/>
      <c r="H243" s="4">
        <v>0.58958333333333335</v>
      </c>
      <c r="I243" s="4">
        <v>0.59791666666666665</v>
      </c>
      <c r="J243" s="5">
        <v>18.5</v>
      </c>
      <c r="K243" s="5">
        <v>19.600000000000001</v>
      </c>
      <c r="L243" t="s">
        <v>56</v>
      </c>
      <c r="M243" t="s">
        <v>56</v>
      </c>
      <c r="N243" t="s">
        <v>31</v>
      </c>
      <c r="O243" s="2" t="s">
        <v>92</v>
      </c>
      <c r="P243" t="s">
        <v>28</v>
      </c>
      <c r="Q243" t="s">
        <v>28</v>
      </c>
      <c r="R243" s="1"/>
      <c r="S243">
        <v>1</v>
      </c>
      <c r="T243">
        <v>0</v>
      </c>
      <c r="U243">
        <v>0</v>
      </c>
      <c r="V243">
        <v>1</v>
      </c>
      <c r="W243">
        <v>0</v>
      </c>
      <c r="X243">
        <v>0</v>
      </c>
      <c r="Y243">
        <v>0</v>
      </c>
      <c r="Z243">
        <v>0</v>
      </c>
      <c r="AA243">
        <v>0</v>
      </c>
      <c r="AB243">
        <v>0</v>
      </c>
      <c r="AD243">
        <v>0</v>
      </c>
      <c r="AE243">
        <v>0</v>
      </c>
    </row>
    <row r="244" spans="1:32" x14ac:dyDescent="0.3">
      <c r="A244" t="s">
        <v>488</v>
      </c>
      <c r="B244" s="17">
        <v>45973</v>
      </c>
      <c r="C244" s="6" t="s">
        <v>236</v>
      </c>
      <c r="D244" s="6">
        <v>7</v>
      </c>
      <c r="E244">
        <v>1</v>
      </c>
      <c r="F244">
        <v>1</v>
      </c>
      <c r="G244" s="1"/>
      <c r="H244" s="4">
        <v>0.59027777777777779</v>
      </c>
      <c r="I244" s="4">
        <v>0.59791666666666665</v>
      </c>
      <c r="J244" s="5">
        <v>18.5</v>
      </c>
      <c r="K244" s="5">
        <v>19.600000000000001</v>
      </c>
      <c r="L244" t="s">
        <v>56</v>
      </c>
      <c r="M244" t="s">
        <v>56</v>
      </c>
      <c r="N244" t="s">
        <v>31</v>
      </c>
      <c r="O244" s="2" t="s">
        <v>92</v>
      </c>
      <c r="P244" t="s">
        <v>28</v>
      </c>
      <c r="Q244" t="s">
        <v>28</v>
      </c>
      <c r="R244" s="1"/>
      <c r="S244">
        <v>0</v>
      </c>
      <c r="T244">
        <v>0</v>
      </c>
      <c r="U244">
        <v>0</v>
      </c>
      <c r="V244">
        <v>1</v>
      </c>
      <c r="W244">
        <v>0</v>
      </c>
      <c r="X244">
        <v>0</v>
      </c>
      <c r="Y244">
        <v>0</v>
      </c>
      <c r="Z244">
        <v>1</v>
      </c>
      <c r="AA244">
        <v>1</v>
      </c>
      <c r="AB244">
        <v>0</v>
      </c>
      <c r="AD244">
        <v>0</v>
      </c>
      <c r="AE244">
        <v>0</v>
      </c>
    </row>
    <row r="245" spans="1:32" x14ac:dyDescent="0.3">
      <c r="A245" t="s">
        <v>489</v>
      </c>
      <c r="B245" s="17">
        <v>46008</v>
      </c>
      <c r="C245" s="6" t="s">
        <v>238</v>
      </c>
      <c r="D245" s="6">
        <v>1</v>
      </c>
      <c r="E245">
        <v>1</v>
      </c>
      <c r="F245">
        <v>2</v>
      </c>
      <c r="G245" s="1"/>
      <c r="H245" s="4">
        <v>0.59027777777777779</v>
      </c>
      <c r="I245" s="4">
        <v>0.59722222222222221</v>
      </c>
      <c r="J245" s="5">
        <v>30.5</v>
      </c>
      <c r="K245" s="5">
        <v>29.7</v>
      </c>
      <c r="L245" t="s">
        <v>56</v>
      </c>
      <c r="M245" t="s">
        <v>56</v>
      </c>
      <c r="N245" t="s">
        <v>26</v>
      </c>
      <c r="O245" t="s">
        <v>26</v>
      </c>
      <c r="P245" t="s">
        <v>28</v>
      </c>
      <c r="Q245" t="s">
        <v>28</v>
      </c>
      <c r="R245" s="1"/>
      <c r="S245">
        <v>1</v>
      </c>
      <c r="T245">
        <v>0</v>
      </c>
      <c r="U245">
        <v>0</v>
      </c>
      <c r="V245">
        <v>0</v>
      </c>
      <c r="W245">
        <v>0</v>
      </c>
      <c r="X245">
        <v>0</v>
      </c>
      <c r="Y245">
        <v>0</v>
      </c>
      <c r="Z245">
        <v>1</v>
      </c>
      <c r="AA245">
        <v>0</v>
      </c>
      <c r="AB245">
        <v>1</v>
      </c>
      <c r="AC245" t="s">
        <v>59</v>
      </c>
      <c r="AD245">
        <v>0</v>
      </c>
      <c r="AE245">
        <v>0</v>
      </c>
    </row>
    <row r="246" spans="1:32" x14ac:dyDescent="0.3">
      <c r="A246" t="s">
        <v>490</v>
      </c>
      <c r="B246" s="17">
        <v>46008</v>
      </c>
      <c r="C246" s="6" t="s">
        <v>238</v>
      </c>
      <c r="D246" s="6">
        <v>1</v>
      </c>
      <c r="E246">
        <v>2</v>
      </c>
      <c r="F246">
        <v>1</v>
      </c>
      <c r="G246" s="1"/>
      <c r="H246" s="4">
        <v>0.59027777777777779</v>
      </c>
      <c r="I246" s="4">
        <v>0.59722222222222221</v>
      </c>
      <c r="J246" s="5">
        <v>30.5</v>
      </c>
      <c r="K246" s="5">
        <v>29.7</v>
      </c>
      <c r="L246" t="s">
        <v>56</v>
      </c>
      <c r="M246" t="s">
        <v>56</v>
      </c>
      <c r="N246" t="s">
        <v>37</v>
      </c>
      <c r="O246" t="s">
        <v>26</v>
      </c>
      <c r="P246" t="s">
        <v>28</v>
      </c>
      <c r="Q246" t="s">
        <v>28</v>
      </c>
      <c r="R246" s="1"/>
      <c r="S246">
        <v>1</v>
      </c>
      <c r="T246">
        <v>0</v>
      </c>
      <c r="U246">
        <v>0</v>
      </c>
      <c r="V246">
        <v>0</v>
      </c>
      <c r="W246">
        <v>1</v>
      </c>
      <c r="X246">
        <v>0</v>
      </c>
      <c r="Y246">
        <v>0</v>
      </c>
      <c r="Z246">
        <v>1</v>
      </c>
      <c r="AA246">
        <v>0</v>
      </c>
      <c r="AB246">
        <v>1</v>
      </c>
      <c r="AC246" t="s">
        <v>177</v>
      </c>
      <c r="AD246">
        <v>0</v>
      </c>
      <c r="AE246">
        <v>0</v>
      </c>
    </row>
    <row r="247" spans="1:32" x14ac:dyDescent="0.3">
      <c r="A247" t="s">
        <v>491</v>
      </c>
      <c r="B247" s="17">
        <v>45996</v>
      </c>
      <c r="C247" s="6" t="s">
        <v>238</v>
      </c>
      <c r="D247" s="6">
        <v>2</v>
      </c>
      <c r="E247">
        <v>1</v>
      </c>
      <c r="F247">
        <v>1</v>
      </c>
      <c r="G247" s="1"/>
      <c r="H247" s="4">
        <v>0.59097222222222223</v>
      </c>
      <c r="I247" s="4">
        <v>0.59861111111111109</v>
      </c>
      <c r="J247" s="5">
        <v>34.200000000000003</v>
      </c>
      <c r="K247" s="5">
        <v>32.4</v>
      </c>
      <c r="L247" t="s">
        <v>30</v>
      </c>
      <c r="M247" t="s">
        <v>30</v>
      </c>
      <c r="N247" t="s">
        <v>68</v>
      </c>
      <c r="O247" s="2" t="s">
        <v>92</v>
      </c>
      <c r="P247" t="s">
        <v>28</v>
      </c>
      <c r="Q247" t="s">
        <v>28</v>
      </c>
      <c r="R247" s="1"/>
      <c r="S247">
        <v>1</v>
      </c>
      <c r="T247">
        <v>0</v>
      </c>
      <c r="U247">
        <v>0</v>
      </c>
      <c r="V247">
        <v>1</v>
      </c>
      <c r="W247">
        <v>0</v>
      </c>
      <c r="X247">
        <v>0</v>
      </c>
      <c r="Y247">
        <v>0</v>
      </c>
      <c r="Z247">
        <v>1</v>
      </c>
      <c r="AA247">
        <v>1</v>
      </c>
      <c r="AB247">
        <v>1</v>
      </c>
      <c r="AD247">
        <v>1</v>
      </c>
      <c r="AE247">
        <v>0</v>
      </c>
      <c r="AF247" t="s">
        <v>72</v>
      </c>
    </row>
    <row r="248" spans="1:32" x14ac:dyDescent="0.3">
      <c r="A248" t="s">
        <v>492</v>
      </c>
      <c r="B248" s="17">
        <v>45996</v>
      </c>
      <c r="C248" s="6" t="s">
        <v>238</v>
      </c>
      <c r="D248" s="6">
        <v>2</v>
      </c>
      <c r="E248">
        <v>1</v>
      </c>
      <c r="F248">
        <v>1</v>
      </c>
      <c r="G248" s="1"/>
      <c r="H248" s="4">
        <v>0.59097222222222223</v>
      </c>
      <c r="I248" s="4">
        <v>0.59791666666666665</v>
      </c>
      <c r="J248" s="5">
        <v>34.200000000000003</v>
      </c>
      <c r="K248" s="5">
        <v>32.4</v>
      </c>
      <c r="L248" t="s">
        <v>30</v>
      </c>
      <c r="M248" t="s">
        <v>30</v>
      </c>
      <c r="N248" t="s">
        <v>68</v>
      </c>
      <c r="O248" s="2" t="s">
        <v>92</v>
      </c>
      <c r="P248" t="s">
        <v>28</v>
      </c>
      <c r="Q248" t="s">
        <v>28</v>
      </c>
      <c r="R248" s="1"/>
      <c r="S248">
        <v>1</v>
      </c>
      <c r="T248">
        <v>0</v>
      </c>
      <c r="U248">
        <v>0</v>
      </c>
      <c r="V248">
        <v>1</v>
      </c>
      <c r="W248">
        <v>0</v>
      </c>
      <c r="X248">
        <v>0</v>
      </c>
      <c r="Y248">
        <v>0</v>
      </c>
      <c r="Z248">
        <v>1</v>
      </c>
      <c r="AA248">
        <v>1</v>
      </c>
      <c r="AB248">
        <v>1</v>
      </c>
      <c r="AD248">
        <v>0</v>
      </c>
      <c r="AE248">
        <v>0</v>
      </c>
    </row>
    <row r="249" spans="1:32" x14ac:dyDescent="0.3">
      <c r="A249" t="s">
        <v>493</v>
      </c>
      <c r="B249" s="17">
        <v>45979</v>
      </c>
      <c r="C249" s="6" t="s">
        <v>238</v>
      </c>
      <c r="D249" s="6">
        <v>3</v>
      </c>
      <c r="E249">
        <v>2</v>
      </c>
      <c r="F249">
        <v>1</v>
      </c>
      <c r="G249" s="1"/>
      <c r="H249" s="4">
        <v>0.59236111111111112</v>
      </c>
      <c r="I249" s="4">
        <v>0.6</v>
      </c>
      <c r="J249" s="5">
        <v>24.4</v>
      </c>
      <c r="K249" s="5">
        <v>23.8</v>
      </c>
      <c r="L249" t="s">
        <v>56</v>
      </c>
      <c r="M249" t="s">
        <v>56</v>
      </c>
      <c r="N249" t="s">
        <v>35</v>
      </c>
      <c r="O249" s="2" t="s">
        <v>92</v>
      </c>
      <c r="P249" t="s">
        <v>28</v>
      </c>
      <c r="Q249" t="s">
        <v>28</v>
      </c>
      <c r="R249" s="1"/>
      <c r="S249">
        <v>0</v>
      </c>
      <c r="T249">
        <v>0</v>
      </c>
      <c r="U249">
        <v>1</v>
      </c>
      <c r="V249">
        <v>1</v>
      </c>
      <c r="W249">
        <v>0</v>
      </c>
      <c r="X249">
        <v>0</v>
      </c>
      <c r="Y249">
        <v>0</v>
      </c>
      <c r="Z249">
        <v>1</v>
      </c>
      <c r="AA249">
        <v>1</v>
      </c>
      <c r="AB249">
        <v>1</v>
      </c>
      <c r="AC249" t="s">
        <v>160</v>
      </c>
      <c r="AD249">
        <v>0</v>
      </c>
      <c r="AE249">
        <v>0</v>
      </c>
    </row>
    <row r="250" spans="1:32" x14ac:dyDescent="0.3">
      <c r="A250" t="s">
        <v>494</v>
      </c>
      <c r="B250" s="17">
        <v>45979</v>
      </c>
      <c r="C250" s="6" t="s">
        <v>238</v>
      </c>
      <c r="D250" s="6">
        <v>3</v>
      </c>
      <c r="E250">
        <v>2</v>
      </c>
      <c r="F250">
        <v>1</v>
      </c>
      <c r="G250" s="1"/>
      <c r="H250" s="4">
        <v>0.59305555555555556</v>
      </c>
      <c r="I250" s="4">
        <v>0.6</v>
      </c>
      <c r="J250" s="5">
        <v>24.4</v>
      </c>
      <c r="K250" s="5">
        <v>23.8</v>
      </c>
      <c r="L250" t="s">
        <v>56</v>
      </c>
      <c r="M250" t="s">
        <v>56</v>
      </c>
      <c r="N250" t="s">
        <v>35</v>
      </c>
      <c r="O250" s="2" t="s">
        <v>92</v>
      </c>
      <c r="P250" t="s">
        <v>28</v>
      </c>
      <c r="Q250" t="s">
        <v>28</v>
      </c>
      <c r="R250" s="1"/>
      <c r="S250">
        <v>0</v>
      </c>
      <c r="T250">
        <v>0</v>
      </c>
      <c r="U250">
        <v>1</v>
      </c>
      <c r="V250">
        <v>1</v>
      </c>
      <c r="W250">
        <v>0</v>
      </c>
      <c r="X250">
        <v>0</v>
      </c>
      <c r="Y250">
        <v>0</v>
      </c>
      <c r="Z250">
        <v>1</v>
      </c>
      <c r="AA250">
        <v>1</v>
      </c>
      <c r="AB250">
        <v>1</v>
      </c>
      <c r="AC250" t="s">
        <v>51</v>
      </c>
      <c r="AD250">
        <v>0</v>
      </c>
      <c r="AE250">
        <v>0</v>
      </c>
    </row>
    <row r="251" spans="1:32" x14ac:dyDescent="0.3">
      <c r="A251" t="s">
        <v>495</v>
      </c>
      <c r="B251" s="17">
        <v>46007</v>
      </c>
      <c r="C251" s="6" t="s">
        <v>237</v>
      </c>
      <c r="D251" s="6">
        <v>4</v>
      </c>
      <c r="E251">
        <v>1</v>
      </c>
      <c r="F251">
        <v>1</v>
      </c>
      <c r="G251" s="1"/>
      <c r="H251" s="4">
        <v>0.59375</v>
      </c>
      <c r="I251" s="4">
        <v>0.60069444444444442</v>
      </c>
      <c r="J251" s="5">
        <v>24.1</v>
      </c>
      <c r="K251" s="5">
        <v>24.8</v>
      </c>
      <c r="L251" t="s">
        <v>50</v>
      </c>
      <c r="M251" t="s">
        <v>50</v>
      </c>
      <c r="N251" t="s">
        <v>35</v>
      </c>
      <c r="O251" t="s">
        <v>35</v>
      </c>
      <c r="P251" t="s">
        <v>28</v>
      </c>
      <c r="Q251" t="s">
        <v>28</v>
      </c>
      <c r="R251" s="1"/>
      <c r="S251">
        <v>0</v>
      </c>
      <c r="T251">
        <v>0</v>
      </c>
      <c r="U251">
        <v>0</v>
      </c>
      <c r="V251">
        <v>0</v>
      </c>
      <c r="W251">
        <v>0</v>
      </c>
      <c r="X251">
        <v>0</v>
      </c>
      <c r="Y251">
        <v>0</v>
      </c>
      <c r="Z251">
        <v>1</v>
      </c>
      <c r="AA251">
        <v>0</v>
      </c>
      <c r="AB251">
        <v>1</v>
      </c>
      <c r="AC251" t="s">
        <v>220</v>
      </c>
      <c r="AD251">
        <v>0</v>
      </c>
      <c r="AE251">
        <v>0</v>
      </c>
    </row>
    <row r="252" spans="1:32" x14ac:dyDescent="0.3">
      <c r="A252" t="s">
        <v>496</v>
      </c>
      <c r="B252" s="17">
        <v>46007</v>
      </c>
      <c r="C252" s="6" t="s">
        <v>237</v>
      </c>
      <c r="D252" s="6">
        <v>4</v>
      </c>
      <c r="E252">
        <v>1</v>
      </c>
      <c r="F252">
        <v>1</v>
      </c>
      <c r="G252" s="1"/>
      <c r="H252" s="4">
        <v>0.59375</v>
      </c>
      <c r="I252" s="4">
        <v>0.60138888888888886</v>
      </c>
      <c r="J252" s="5">
        <v>24.1</v>
      </c>
      <c r="K252" s="5">
        <v>24.8</v>
      </c>
      <c r="L252" t="s">
        <v>50</v>
      </c>
      <c r="M252" t="s">
        <v>50</v>
      </c>
      <c r="N252" t="s">
        <v>35</v>
      </c>
      <c r="O252" t="s">
        <v>35</v>
      </c>
      <c r="P252" t="s">
        <v>28</v>
      </c>
      <c r="Q252" t="s">
        <v>28</v>
      </c>
      <c r="R252" s="1"/>
      <c r="S252">
        <v>1</v>
      </c>
      <c r="T252">
        <v>0</v>
      </c>
      <c r="U252">
        <v>1</v>
      </c>
      <c r="V252">
        <v>1</v>
      </c>
      <c r="W252">
        <v>0</v>
      </c>
      <c r="X252">
        <v>0</v>
      </c>
      <c r="Y252">
        <v>0</v>
      </c>
      <c r="Z252">
        <v>1</v>
      </c>
      <c r="AA252">
        <v>0</v>
      </c>
      <c r="AB252">
        <v>1</v>
      </c>
      <c r="AC252" t="s">
        <v>211</v>
      </c>
      <c r="AD252">
        <v>0</v>
      </c>
      <c r="AE252">
        <v>0</v>
      </c>
      <c r="AF252" t="s">
        <v>185</v>
      </c>
    </row>
    <row r="253" spans="1:32" x14ac:dyDescent="0.3">
      <c r="A253" t="s">
        <v>497</v>
      </c>
      <c r="B253" s="17">
        <v>45968</v>
      </c>
      <c r="C253" s="6" t="s">
        <v>236</v>
      </c>
      <c r="D253" s="6">
        <v>4</v>
      </c>
      <c r="E253">
        <v>1</v>
      </c>
      <c r="F253">
        <v>1</v>
      </c>
      <c r="G253" s="1"/>
      <c r="H253" s="4">
        <v>0.59444444444444444</v>
      </c>
      <c r="I253" s="4">
        <v>0.60138888888888886</v>
      </c>
      <c r="J253" s="5">
        <v>26</v>
      </c>
      <c r="K253" s="5">
        <v>26.8</v>
      </c>
      <c r="L253" t="s">
        <v>27</v>
      </c>
      <c r="M253" t="s">
        <v>27</v>
      </c>
      <c r="N253" t="s">
        <v>35</v>
      </c>
      <c r="O253" s="2" t="s">
        <v>92</v>
      </c>
      <c r="P253" t="s">
        <v>28</v>
      </c>
      <c r="Q253" t="s">
        <v>28</v>
      </c>
      <c r="R253" s="1"/>
      <c r="S253">
        <v>0</v>
      </c>
      <c r="T253">
        <v>0</v>
      </c>
      <c r="U253">
        <v>1</v>
      </c>
      <c r="V253">
        <v>0</v>
      </c>
      <c r="W253">
        <v>0</v>
      </c>
      <c r="X253">
        <v>0</v>
      </c>
      <c r="Y253">
        <v>0</v>
      </c>
      <c r="Z253">
        <v>1</v>
      </c>
      <c r="AA253">
        <v>0</v>
      </c>
      <c r="AB253">
        <v>0</v>
      </c>
      <c r="AC253" t="s">
        <v>199</v>
      </c>
      <c r="AD253">
        <v>0</v>
      </c>
      <c r="AE253">
        <v>0</v>
      </c>
    </row>
    <row r="254" spans="1:32" x14ac:dyDescent="0.3">
      <c r="A254" t="s">
        <v>498</v>
      </c>
      <c r="B254" s="17">
        <v>45968</v>
      </c>
      <c r="C254" s="6" t="s">
        <v>236</v>
      </c>
      <c r="D254" s="6">
        <v>4</v>
      </c>
      <c r="E254">
        <v>1</v>
      </c>
      <c r="F254">
        <v>1</v>
      </c>
      <c r="G254" s="1"/>
      <c r="H254" s="4">
        <v>0.59444444444444444</v>
      </c>
      <c r="I254" s="4">
        <v>0.60138888888888886</v>
      </c>
      <c r="J254" s="5">
        <v>26</v>
      </c>
      <c r="K254" s="5">
        <v>26.8</v>
      </c>
      <c r="L254" t="s">
        <v>27</v>
      </c>
      <c r="M254" t="s">
        <v>27</v>
      </c>
      <c r="N254" t="s">
        <v>35</v>
      </c>
      <c r="O254" s="2" t="s">
        <v>92</v>
      </c>
      <c r="P254" t="s">
        <v>28</v>
      </c>
      <c r="Q254" t="s">
        <v>28</v>
      </c>
      <c r="R254" s="1"/>
      <c r="S254">
        <v>1</v>
      </c>
      <c r="T254">
        <v>0</v>
      </c>
      <c r="U254">
        <v>1</v>
      </c>
      <c r="V254">
        <v>1</v>
      </c>
      <c r="W254">
        <v>0</v>
      </c>
      <c r="X254">
        <v>0</v>
      </c>
      <c r="Y254">
        <v>0</v>
      </c>
      <c r="Z254">
        <v>1</v>
      </c>
      <c r="AA254">
        <v>0</v>
      </c>
      <c r="AB254">
        <v>0</v>
      </c>
      <c r="AC254" t="s">
        <v>200</v>
      </c>
      <c r="AD254">
        <v>0</v>
      </c>
      <c r="AE254">
        <v>0</v>
      </c>
    </row>
    <row r="255" spans="1:32" x14ac:dyDescent="0.3">
      <c r="A255" t="s">
        <v>499</v>
      </c>
      <c r="B255" s="19">
        <v>45967</v>
      </c>
      <c r="C255" s="6" t="s">
        <v>236</v>
      </c>
      <c r="D255" s="6">
        <v>6</v>
      </c>
      <c r="E255">
        <v>1</v>
      </c>
      <c r="F255">
        <v>1</v>
      </c>
      <c r="G255" s="1"/>
      <c r="H255" s="4">
        <v>0.59722222222222221</v>
      </c>
      <c r="I255" s="7" t="s">
        <v>92</v>
      </c>
      <c r="J255" s="5">
        <v>22.5</v>
      </c>
      <c r="K255" s="8" t="s">
        <v>92</v>
      </c>
      <c r="L255" t="s">
        <v>50</v>
      </c>
      <c r="M255" t="s">
        <v>50</v>
      </c>
      <c r="N255" t="s">
        <v>35</v>
      </c>
      <c r="O255" s="2" t="s">
        <v>92</v>
      </c>
      <c r="P255" s="2" t="s">
        <v>92</v>
      </c>
      <c r="Q255" s="2" t="s">
        <v>92</v>
      </c>
      <c r="R255" s="1"/>
      <c r="S255">
        <v>1</v>
      </c>
      <c r="T255">
        <v>1</v>
      </c>
      <c r="U255">
        <v>1</v>
      </c>
      <c r="V255">
        <v>1</v>
      </c>
      <c r="W255">
        <v>0</v>
      </c>
      <c r="X255">
        <v>1</v>
      </c>
      <c r="Y255">
        <v>0</v>
      </c>
      <c r="Z255">
        <v>1</v>
      </c>
      <c r="AA255">
        <v>1</v>
      </c>
      <c r="AB255">
        <v>0</v>
      </c>
      <c r="AC255" t="s">
        <v>147</v>
      </c>
      <c r="AD255" s="2" t="s">
        <v>92</v>
      </c>
      <c r="AE255" s="2" t="s">
        <v>92</v>
      </c>
    </row>
    <row r="256" spans="1:32" x14ac:dyDescent="0.3">
      <c r="A256" t="s">
        <v>500</v>
      </c>
      <c r="B256" s="17">
        <v>45967</v>
      </c>
      <c r="C256" s="6" t="s">
        <v>236</v>
      </c>
      <c r="D256" s="6">
        <v>6</v>
      </c>
      <c r="E256">
        <v>1</v>
      </c>
      <c r="F256">
        <v>1</v>
      </c>
      <c r="G256" s="1"/>
      <c r="H256" s="4">
        <v>0.59722222222222221</v>
      </c>
      <c r="I256" s="4">
        <v>0.60416666666666663</v>
      </c>
      <c r="J256" s="5">
        <v>22.5</v>
      </c>
      <c r="K256" s="5">
        <v>22</v>
      </c>
      <c r="L256" t="s">
        <v>50</v>
      </c>
      <c r="M256" t="s">
        <v>50</v>
      </c>
      <c r="N256" t="s">
        <v>35</v>
      </c>
      <c r="O256" s="2" t="s">
        <v>92</v>
      </c>
      <c r="P256" s="2" t="s">
        <v>92</v>
      </c>
      <c r="Q256" s="2" t="s">
        <v>92</v>
      </c>
      <c r="R256" s="1"/>
      <c r="S256">
        <v>1</v>
      </c>
      <c r="T256">
        <v>1</v>
      </c>
      <c r="U256">
        <v>1</v>
      </c>
      <c r="V256">
        <v>1</v>
      </c>
      <c r="W256">
        <v>0</v>
      </c>
      <c r="X256">
        <v>0</v>
      </c>
      <c r="Y256">
        <v>0</v>
      </c>
      <c r="Z256">
        <v>0</v>
      </c>
      <c r="AA256">
        <v>1</v>
      </c>
      <c r="AB256">
        <v>0</v>
      </c>
      <c r="AC256" t="s">
        <v>143</v>
      </c>
      <c r="AD256">
        <v>0</v>
      </c>
      <c r="AE256">
        <v>0</v>
      </c>
    </row>
    <row r="257" spans="1:32" x14ac:dyDescent="0.3">
      <c r="A257" t="s">
        <v>501</v>
      </c>
      <c r="B257" s="17">
        <v>45973</v>
      </c>
      <c r="C257" s="6" t="s">
        <v>236</v>
      </c>
      <c r="D257" s="6">
        <v>7</v>
      </c>
      <c r="E257">
        <v>2</v>
      </c>
      <c r="F257">
        <v>1</v>
      </c>
      <c r="G257" s="1"/>
      <c r="H257" s="4">
        <v>0.6</v>
      </c>
      <c r="I257" s="4">
        <v>0.6069444444444444</v>
      </c>
      <c r="J257" s="5">
        <v>19.600000000000001</v>
      </c>
      <c r="K257" s="5">
        <v>19.7</v>
      </c>
      <c r="L257" t="s">
        <v>56</v>
      </c>
      <c r="M257" t="s">
        <v>56</v>
      </c>
      <c r="N257" t="s">
        <v>31</v>
      </c>
      <c r="O257" s="2" t="s">
        <v>92</v>
      </c>
      <c r="P257" t="s">
        <v>28</v>
      </c>
      <c r="Q257" t="s">
        <v>28</v>
      </c>
      <c r="R257" s="1"/>
      <c r="S257">
        <v>0</v>
      </c>
      <c r="T257">
        <v>0</v>
      </c>
      <c r="U257">
        <v>1</v>
      </c>
      <c r="V257">
        <v>0</v>
      </c>
      <c r="W257">
        <v>0</v>
      </c>
      <c r="X257">
        <v>1</v>
      </c>
      <c r="Y257">
        <v>0</v>
      </c>
      <c r="Z257">
        <v>1</v>
      </c>
      <c r="AA257">
        <v>1</v>
      </c>
      <c r="AB257">
        <v>0</v>
      </c>
      <c r="AD257">
        <v>0</v>
      </c>
      <c r="AE257">
        <v>0</v>
      </c>
    </row>
    <row r="258" spans="1:32" x14ac:dyDescent="0.3">
      <c r="A258" t="s">
        <v>502</v>
      </c>
      <c r="B258" s="17">
        <v>45973</v>
      </c>
      <c r="C258" s="6" t="s">
        <v>236</v>
      </c>
      <c r="D258" s="6">
        <v>7</v>
      </c>
      <c r="E258">
        <v>2</v>
      </c>
      <c r="F258">
        <v>1</v>
      </c>
      <c r="G258" s="1"/>
      <c r="H258" s="4">
        <v>0.6</v>
      </c>
      <c r="I258" s="4">
        <v>0.6069444444444444</v>
      </c>
      <c r="J258" s="5">
        <v>19.600000000000001</v>
      </c>
      <c r="K258" s="5">
        <v>19.7</v>
      </c>
      <c r="L258" t="s">
        <v>56</v>
      </c>
      <c r="M258" t="s">
        <v>56</v>
      </c>
      <c r="N258" t="s">
        <v>31</v>
      </c>
      <c r="O258" s="2" t="s">
        <v>92</v>
      </c>
      <c r="P258" t="s">
        <v>28</v>
      </c>
      <c r="Q258" t="s">
        <v>28</v>
      </c>
      <c r="R258" s="1"/>
      <c r="S258">
        <v>1</v>
      </c>
      <c r="T258">
        <v>0</v>
      </c>
      <c r="U258">
        <v>1</v>
      </c>
      <c r="V258">
        <v>0</v>
      </c>
      <c r="W258">
        <v>0</v>
      </c>
      <c r="X258">
        <v>0</v>
      </c>
      <c r="Y258">
        <v>0</v>
      </c>
      <c r="Z258">
        <v>1</v>
      </c>
      <c r="AA258">
        <v>1</v>
      </c>
      <c r="AB258">
        <v>0</v>
      </c>
      <c r="AD258">
        <v>0</v>
      </c>
      <c r="AE258">
        <v>0</v>
      </c>
    </row>
    <row r="259" spans="1:32" x14ac:dyDescent="0.3">
      <c r="A259" t="s">
        <v>503</v>
      </c>
      <c r="B259" s="17">
        <v>45993</v>
      </c>
      <c r="C259" s="6" t="s">
        <v>236</v>
      </c>
      <c r="D259" s="6" t="s">
        <v>242</v>
      </c>
      <c r="E259">
        <v>1</v>
      </c>
      <c r="F259">
        <v>2</v>
      </c>
      <c r="G259" s="1"/>
      <c r="H259" s="4">
        <v>0.6</v>
      </c>
      <c r="I259" s="4">
        <v>0.6069444444444444</v>
      </c>
      <c r="J259" s="5">
        <v>20.100000000000001</v>
      </c>
      <c r="K259" s="5">
        <v>20.399999999999999</v>
      </c>
      <c r="L259" t="s">
        <v>27</v>
      </c>
      <c r="M259" t="s">
        <v>30</v>
      </c>
      <c r="N259" t="s">
        <v>35</v>
      </c>
      <c r="O259" s="2" t="s">
        <v>92</v>
      </c>
      <c r="P259" t="s">
        <v>28</v>
      </c>
      <c r="Q259" t="s">
        <v>28</v>
      </c>
      <c r="R259" s="1"/>
      <c r="S259">
        <v>0</v>
      </c>
      <c r="T259">
        <v>0</v>
      </c>
      <c r="U259">
        <v>1</v>
      </c>
      <c r="V259">
        <v>1</v>
      </c>
      <c r="W259">
        <v>0</v>
      </c>
      <c r="X259">
        <v>0</v>
      </c>
      <c r="Y259">
        <v>0</v>
      </c>
      <c r="Z259">
        <v>0</v>
      </c>
      <c r="AA259">
        <v>1</v>
      </c>
      <c r="AB259">
        <v>0</v>
      </c>
      <c r="AC259" t="s">
        <v>103</v>
      </c>
      <c r="AD259">
        <v>2</v>
      </c>
      <c r="AE259">
        <v>0</v>
      </c>
      <c r="AF259" t="s">
        <v>104</v>
      </c>
    </row>
    <row r="260" spans="1:32" x14ac:dyDescent="0.3">
      <c r="A260" t="s">
        <v>504</v>
      </c>
      <c r="B260" s="17">
        <v>45968</v>
      </c>
      <c r="C260" s="6" t="s">
        <v>236</v>
      </c>
      <c r="D260" s="6">
        <v>4</v>
      </c>
      <c r="E260">
        <v>1</v>
      </c>
      <c r="F260">
        <v>2</v>
      </c>
      <c r="G260" s="1"/>
      <c r="H260" s="4">
        <v>0.6020833333333333</v>
      </c>
      <c r="I260" s="4">
        <v>0.60902777777777772</v>
      </c>
      <c r="J260" s="5">
        <v>26.8</v>
      </c>
      <c r="K260" s="5">
        <v>27</v>
      </c>
      <c r="L260" t="s">
        <v>27</v>
      </c>
      <c r="M260" t="s">
        <v>27</v>
      </c>
      <c r="N260" t="s">
        <v>35</v>
      </c>
      <c r="O260" s="2" t="s">
        <v>92</v>
      </c>
      <c r="P260" t="s">
        <v>28</v>
      </c>
      <c r="Q260" t="s">
        <v>28</v>
      </c>
      <c r="R260" s="1"/>
      <c r="S260">
        <v>0</v>
      </c>
      <c r="T260">
        <v>0</v>
      </c>
      <c r="U260">
        <v>1</v>
      </c>
      <c r="V260">
        <v>1</v>
      </c>
      <c r="W260">
        <v>0</v>
      </c>
      <c r="X260">
        <v>0</v>
      </c>
      <c r="Y260">
        <v>0</v>
      </c>
      <c r="Z260">
        <v>1</v>
      </c>
      <c r="AA260">
        <v>0</v>
      </c>
      <c r="AB260">
        <v>1</v>
      </c>
      <c r="AC260" t="s">
        <v>138</v>
      </c>
      <c r="AD260">
        <v>0</v>
      </c>
      <c r="AE260">
        <v>0</v>
      </c>
    </row>
    <row r="261" spans="1:32" x14ac:dyDescent="0.3">
      <c r="A261" t="s">
        <v>505</v>
      </c>
      <c r="B261" s="17">
        <v>45979</v>
      </c>
      <c r="C261" s="6" t="s">
        <v>238</v>
      </c>
      <c r="D261" s="6">
        <v>3</v>
      </c>
      <c r="E261">
        <v>3</v>
      </c>
      <c r="F261">
        <v>1</v>
      </c>
      <c r="G261" s="1"/>
      <c r="H261" s="4">
        <v>0.6020833333333333</v>
      </c>
      <c r="I261" s="4">
        <v>0.60902777777777772</v>
      </c>
      <c r="J261" s="5">
        <v>23.8</v>
      </c>
      <c r="K261" s="5">
        <v>24</v>
      </c>
      <c r="L261" t="s">
        <v>56</v>
      </c>
      <c r="M261" t="s">
        <v>56</v>
      </c>
      <c r="N261" t="s">
        <v>35</v>
      </c>
      <c r="O261" s="2" t="s">
        <v>92</v>
      </c>
      <c r="P261" t="s">
        <v>28</v>
      </c>
      <c r="Q261" t="s">
        <v>28</v>
      </c>
      <c r="R261" s="1"/>
      <c r="S261">
        <v>0</v>
      </c>
      <c r="T261">
        <v>0</v>
      </c>
      <c r="U261">
        <v>1</v>
      </c>
      <c r="V261">
        <v>1</v>
      </c>
      <c r="W261">
        <v>0</v>
      </c>
      <c r="X261">
        <v>0</v>
      </c>
      <c r="Y261">
        <v>0</v>
      </c>
      <c r="Z261">
        <v>1</v>
      </c>
      <c r="AA261">
        <v>0</v>
      </c>
      <c r="AB261">
        <v>0</v>
      </c>
      <c r="AD261">
        <v>0</v>
      </c>
      <c r="AE261">
        <v>0</v>
      </c>
    </row>
    <row r="262" spans="1:32" x14ac:dyDescent="0.3">
      <c r="A262" t="s">
        <v>506</v>
      </c>
      <c r="B262" s="17">
        <v>45979</v>
      </c>
      <c r="C262" s="6" t="s">
        <v>238</v>
      </c>
      <c r="D262" s="6">
        <v>3</v>
      </c>
      <c r="E262">
        <v>3</v>
      </c>
      <c r="F262">
        <v>1</v>
      </c>
      <c r="G262" s="1"/>
      <c r="H262" s="4">
        <v>0.6020833333333333</v>
      </c>
      <c r="I262" s="4">
        <v>0.60902777777777772</v>
      </c>
      <c r="J262" s="5">
        <v>23.8</v>
      </c>
      <c r="K262" s="5">
        <v>24</v>
      </c>
      <c r="L262" t="s">
        <v>56</v>
      </c>
      <c r="M262" t="s">
        <v>56</v>
      </c>
      <c r="N262" t="s">
        <v>26</v>
      </c>
      <c r="O262" s="2" t="s">
        <v>92</v>
      </c>
      <c r="P262" t="s">
        <v>28</v>
      </c>
      <c r="Q262" t="s">
        <v>28</v>
      </c>
      <c r="R262" s="1"/>
      <c r="S262">
        <v>1</v>
      </c>
      <c r="T262">
        <v>0</v>
      </c>
      <c r="U262">
        <v>1</v>
      </c>
      <c r="V262">
        <v>1</v>
      </c>
      <c r="W262">
        <v>0</v>
      </c>
      <c r="X262">
        <v>0</v>
      </c>
      <c r="Y262">
        <v>1</v>
      </c>
      <c r="Z262">
        <v>1</v>
      </c>
      <c r="AA262">
        <v>0</v>
      </c>
      <c r="AB262">
        <v>1</v>
      </c>
      <c r="AC262" t="s">
        <v>211</v>
      </c>
      <c r="AD262">
        <v>0</v>
      </c>
      <c r="AE262">
        <v>1</v>
      </c>
      <c r="AF262" t="s">
        <v>161</v>
      </c>
    </row>
    <row r="263" spans="1:32" x14ac:dyDescent="0.3">
      <c r="A263" t="s">
        <v>507</v>
      </c>
      <c r="B263" s="17">
        <v>45997</v>
      </c>
      <c r="C263" s="6" t="s">
        <v>236</v>
      </c>
      <c r="D263" s="6">
        <v>7</v>
      </c>
      <c r="E263">
        <v>1</v>
      </c>
      <c r="F263">
        <v>1</v>
      </c>
      <c r="G263" s="1"/>
      <c r="H263" s="4">
        <v>0.6020833333333333</v>
      </c>
      <c r="I263" s="4">
        <v>0.60972222222222228</v>
      </c>
      <c r="J263" s="5">
        <v>33.4</v>
      </c>
      <c r="K263" s="5">
        <v>33.4</v>
      </c>
      <c r="L263" t="s">
        <v>32</v>
      </c>
      <c r="M263" t="s">
        <v>27</v>
      </c>
      <c r="N263" t="s">
        <v>26</v>
      </c>
      <c r="O263" t="s">
        <v>35</v>
      </c>
      <c r="P263" t="s">
        <v>28</v>
      </c>
      <c r="Q263" t="s">
        <v>28</v>
      </c>
      <c r="R263" s="1"/>
      <c r="S263">
        <v>1</v>
      </c>
      <c r="T263">
        <v>0</v>
      </c>
      <c r="U263">
        <v>0</v>
      </c>
      <c r="V263">
        <v>1</v>
      </c>
      <c r="W263">
        <v>0</v>
      </c>
      <c r="X263">
        <v>0</v>
      </c>
      <c r="Y263">
        <v>1</v>
      </c>
      <c r="Z263">
        <v>1</v>
      </c>
      <c r="AA263">
        <v>0</v>
      </c>
      <c r="AB263">
        <v>1</v>
      </c>
      <c r="AD263">
        <v>0</v>
      </c>
      <c r="AE263">
        <v>0</v>
      </c>
    </row>
    <row r="264" spans="1:32" x14ac:dyDescent="0.3">
      <c r="A264" t="s">
        <v>508</v>
      </c>
      <c r="B264" s="17">
        <v>45968</v>
      </c>
      <c r="C264" s="6" t="s">
        <v>236</v>
      </c>
      <c r="D264" s="6">
        <v>4</v>
      </c>
      <c r="E264">
        <v>1</v>
      </c>
      <c r="F264">
        <v>2</v>
      </c>
      <c r="G264" s="1"/>
      <c r="H264" s="4">
        <v>0.60277777777777775</v>
      </c>
      <c r="I264" s="4">
        <v>0.60972222222222228</v>
      </c>
      <c r="J264" s="5">
        <v>26.8</v>
      </c>
      <c r="K264" s="5">
        <v>27</v>
      </c>
      <c r="L264" t="s">
        <v>27</v>
      </c>
      <c r="M264" t="s">
        <v>27</v>
      </c>
      <c r="N264" t="s">
        <v>35</v>
      </c>
      <c r="O264" s="2" t="s">
        <v>92</v>
      </c>
      <c r="P264" t="s">
        <v>28</v>
      </c>
      <c r="Q264" t="s">
        <v>28</v>
      </c>
      <c r="R264" s="1"/>
      <c r="S264">
        <v>0</v>
      </c>
      <c r="T264">
        <v>0</v>
      </c>
      <c r="U264">
        <v>1</v>
      </c>
      <c r="V264">
        <v>1</v>
      </c>
      <c r="W264">
        <v>0</v>
      </c>
      <c r="X264">
        <v>0</v>
      </c>
      <c r="Y264">
        <v>0</v>
      </c>
      <c r="Z264">
        <v>1</v>
      </c>
      <c r="AA264">
        <v>1</v>
      </c>
      <c r="AB264">
        <v>0</v>
      </c>
      <c r="AC264" t="s">
        <v>131</v>
      </c>
      <c r="AD264">
        <v>0</v>
      </c>
      <c r="AE264">
        <v>0</v>
      </c>
    </row>
    <row r="265" spans="1:32" x14ac:dyDescent="0.3">
      <c r="A265" t="s">
        <v>509</v>
      </c>
      <c r="B265" s="17">
        <v>46008</v>
      </c>
      <c r="C265" s="6" t="s">
        <v>238</v>
      </c>
      <c r="D265" s="6">
        <v>2</v>
      </c>
      <c r="E265">
        <v>1</v>
      </c>
      <c r="F265">
        <v>1</v>
      </c>
      <c r="G265" s="1"/>
      <c r="H265" s="4">
        <v>0.60763888888888884</v>
      </c>
      <c r="I265" s="4">
        <v>0.61458333333333337</v>
      </c>
      <c r="J265" s="5">
        <v>30.9</v>
      </c>
      <c r="K265" s="5">
        <v>30.6</v>
      </c>
      <c r="L265" t="s">
        <v>56</v>
      </c>
      <c r="M265" t="s">
        <v>56</v>
      </c>
      <c r="N265" t="s">
        <v>37</v>
      </c>
      <c r="O265" t="s">
        <v>26</v>
      </c>
      <c r="P265" t="s">
        <v>28</v>
      </c>
      <c r="Q265" t="s">
        <v>28</v>
      </c>
      <c r="R265" s="1"/>
      <c r="S265">
        <v>1</v>
      </c>
      <c r="T265">
        <v>0</v>
      </c>
      <c r="U265">
        <v>1</v>
      </c>
      <c r="V265">
        <v>0</v>
      </c>
      <c r="W265">
        <v>1</v>
      </c>
      <c r="X265">
        <v>0</v>
      </c>
      <c r="Y265">
        <v>0</v>
      </c>
      <c r="Z265">
        <v>1</v>
      </c>
      <c r="AA265">
        <v>0</v>
      </c>
      <c r="AB265">
        <v>1</v>
      </c>
      <c r="AD265">
        <v>0</v>
      </c>
      <c r="AE265">
        <v>0</v>
      </c>
    </row>
    <row r="266" spans="1:32" x14ac:dyDescent="0.3">
      <c r="A266" t="s">
        <v>510</v>
      </c>
      <c r="B266" s="17">
        <v>46008</v>
      </c>
      <c r="C266" s="6" t="s">
        <v>238</v>
      </c>
      <c r="D266" s="6">
        <v>2</v>
      </c>
      <c r="E266">
        <v>1</v>
      </c>
      <c r="F266">
        <v>1</v>
      </c>
      <c r="G266" s="1"/>
      <c r="H266" s="4">
        <v>0.60833333333333328</v>
      </c>
      <c r="I266" s="4">
        <v>0.61458333333333337</v>
      </c>
      <c r="J266" s="5">
        <v>30.2</v>
      </c>
      <c r="K266" s="5">
        <v>20.6</v>
      </c>
      <c r="L266" t="s">
        <v>56</v>
      </c>
      <c r="M266" t="s">
        <v>56</v>
      </c>
      <c r="N266" t="s">
        <v>37</v>
      </c>
      <c r="O266" t="s">
        <v>37</v>
      </c>
      <c r="P266" t="s">
        <v>28</v>
      </c>
      <c r="Q266" t="s">
        <v>28</v>
      </c>
      <c r="R266" s="1"/>
      <c r="S266">
        <v>1</v>
      </c>
      <c r="T266">
        <v>0</v>
      </c>
      <c r="U266">
        <v>0</v>
      </c>
      <c r="V266">
        <v>1</v>
      </c>
      <c r="W266">
        <v>0</v>
      </c>
      <c r="X266">
        <v>0</v>
      </c>
      <c r="Y266">
        <v>0</v>
      </c>
      <c r="Z266">
        <v>1</v>
      </c>
      <c r="AA266">
        <v>0</v>
      </c>
      <c r="AB266">
        <v>1</v>
      </c>
      <c r="AD266">
        <v>0</v>
      </c>
      <c r="AE266">
        <v>0</v>
      </c>
    </row>
    <row r="267" spans="1:32" x14ac:dyDescent="0.3">
      <c r="A267" t="s">
        <v>511</v>
      </c>
      <c r="B267" s="17">
        <v>45995</v>
      </c>
      <c r="C267" s="6" t="s">
        <v>238</v>
      </c>
      <c r="D267" s="6" t="s">
        <v>244</v>
      </c>
      <c r="E267">
        <v>1</v>
      </c>
      <c r="F267">
        <v>1</v>
      </c>
      <c r="G267" s="1"/>
      <c r="H267" s="4">
        <v>0.61250000000000004</v>
      </c>
      <c r="I267" s="4">
        <v>0.61944444444444446</v>
      </c>
      <c r="J267" s="5">
        <v>29.7</v>
      </c>
      <c r="K267" s="5">
        <v>29.7</v>
      </c>
      <c r="L267" t="s">
        <v>56</v>
      </c>
      <c r="M267" t="s">
        <v>56</v>
      </c>
      <c r="N267" t="s">
        <v>35</v>
      </c>
      <c r="O267" t="s">
        <v>35</v>
      </c>
      <c r="P267" t="s">
        <v>28</v>
      </c>
      <c r="Q267" t="s">
        <v>28</v>
      </c>
      <c r="R267" s="1"/>
      <c r="S267">
        <v>1</v>
      </c>
      <c r="T267">
        <v>0</v>
      </c>
      <c r="U267">
        <v>0</v>
      </c>
      <c r="V267">
        <v>1</v>
      </c>
      <c r="W267">
        <v>1</v>
      </c>
      <c r="X267">
        <v>0</v>
      </c>
      <c r="Y267">
        <v>0</v>
      </c>
      <c r="Z267">
        <v>1</v>
      </c>
      <c r="AA267">
        <v>1</v>
      </c>
      <c r="AB267">
        <v>0</v>
      </c>
      <c r="AD267">
        <v>0</v>
      </c>
      <c r="AE267">
        <v>0</v>
      </c>
    </row>
    <row r="268" spans="1:32" x14ac:dyDescent="0.3">
      <c r="A268" t="s">
        <v>512</v>
      </c>
      <c r="B268" s="17">
        <v>45997</v>
      </c>
      <c r="C268" s="6" t="s">
        <v>236</v>
      </c>
      <c r="D268" s="6">
        <v>7</v>
      </c>
      <c r="E268">
        <v>2</v>
      </c>
      <c r="F268">
        <v>1</v>
      </c>
      <c r="G268" s="1"/>
      <c r="H268" s="4">
        <v>0.61250000000000004</v>
      </c>
      <c r="I268" s="4">
        <v>0.61944444444444446</v>
      </c>
      <c r="J268" s="5">
        <v>33.4</v>
      </c>
      <c r="K268" s="5">
        <v>33.5</v>
      </c>
      <c r="L268" t="s">
        <v>27</v>
      </c>
      <c r="M268" t="s">
        <v>27</v>
      </c>
      <c r="N268" t="s">
        <v>26</v>
      </c>
      <c r="O268" t="s">
        <v>26</v>
      </c>
      <c r="P268" t="s">
        <v>28</v>
      </c>
      <c r="Q268" t="s">
        <v>28</v>
      </c>
      <c r="R268" s="1"/>
      <c r="S268">
        <v>1</v>
      </c>
      <c r="T268">
        <v>0</v>
      </c>
      <c r="U268">
        <v>0</v>
      </c>
      <c r="V268">
        <v>1</v>
      </c>
      <c r="W268">
        <v>0</v>
      </c>
      <c r="X268">
        <v>0</v>
      </c>
      <c r="Y268">
        <v>0</v>
      </c>
      <c r="Z268">
        <v>1</v>
      </c>
      <c r="AA268">
        <v>1</v>
      </c>
      <c r="AB268">
        <v>0</v>
      </c>
    </row>
    <row r="269" spans="1:32" x14ac:dyDescent="0.3">
      <c r="A269" t="s">
        <v>513</v>
      </c>
      <c r="B269" s="17">
        <v>45995</v>
      </c>
      <c r="C269" s="6" t="s">
        <v>238</v>
      </c>
      <c r="D269" s="6" t="s">
        <v>244</v>
      </c>
      <c r="E269">
        <v>2</v>
      </c>
      <c r="F269">
        <v>1</v>
      </c>
      <c r="G269" s="3"/>
      <c r="H269" s="4">
        <v>0.61319444444444449</v>
      </c>
      <c r="I269" s="4">
        <v>0.62013888888888891</v>
      </c>
      <c r="J269" s="5">
        <v>29.7</v>
      </c>
      <c r="K269" s="5">
        <v>29.7</v>
      </c>
      <c r="L269" t="s">
        <v>56</v>
      </c>
      <c r="M269" t="s">
        <v>56</v>
      </c>
      <c r="N269" t="s">
        <v>35</v>
      </c>
      <c r="O269" t="s">
        <v>35</v>
      </c>
      <c r="P269" t="s">
        <v>28</v>
      </c>
      <c r="Q269" t="s">
        <v>28</v>
      </c>
      <c r="R269" s="1"/>
      <c r="S269">
        <v>1</v>
      </c>
      <c r="T269">
        <v>0</v>
      </c>
      <c r="U269">
        <v>0</v>
      </c>
      <c r="V269">
        <v>1</v>
      </c>
      <c r="W269">
        <v>1</v>
      </c>
      <c r="X269">
        <v>0</v>
      </c>
      <c r="Y269">
        <v>0</v>
      </c>
      <c r="Z269">
        <v>1</v>
      </c>
      <c r="AA269">
        <v>0</v>
      </c>
      <c r="AB269">
        <v>1</v>
      </c>
      <c r="AD269">
        <v>0</v>
      </c>
      <c r="AE269">
        <v>0</v>
      </c>
    </row>
    <row r="270" spans="1:32" x14ac:dyDescent="0.3">
      <c r="A270" t="s">
        <v>514</v>
      </c>
      <c r="B270" s="17">
        <v>45988</v>
      </c>
      <c r="C270" s="6" t="s">
        <v>236</v>
      </c>
      <c r="D270" s="6" t="s">
        <v>241</v>
      </c>
      <c r="E270">
        <v>2</v>
      </c>
      <c r="F270">
        <v>1</v>
      </c>
      <c r="G270" s="1"/>
      <c r="H270" s="4">
        <v>0.62986111111111109</v>
      </c>
      <c r="I270" s="4">
        <v>0.64236111111111116</v>
      </c>
      <c r="J270" s="5">
        <v>23.6</v>
      </c>
      <c r="K270" s="5">
        <v>23.8</v>
      </c>
      <c r="L270" t="s">
        <v>56</v>
      </c>
      <c r="M270" t="s">
        <v>56</v>
      </c>
      <c r="N270" t="s">
        <v>31</v>
      </c>
      <c r="O270" s="2" t="s">
        <v>92</v>
      </c>
      <c r="P270" t="s">
        <v>28</v>
      </c>
      <c r="Q270" t="s">
        <v>28</v>
      </c>
      <c r="R270" s="1"/>
      <c r="S270">
        <v>1</v>
      </c>
      <c r="T270">
        <v>0</v>
      </c>
      <c r="U270">
        <v>1</v>
      </c>
      <c r="V270">
        <v>1</v>
      </c>
      <c r="W270">
        <v>0</v>
      </c>
      <c r="X270">
        <v>0</v>
      </c>
      <c r="Y270">
        <v>0</v>
      </c>
      <c r="Z270">
        <v>1</v>
      </c>
      <c r="AA270">
        <v>1</v>
      </c>
      <c r="AB270">
        <v>1</v>
      </c>
      <c r="AD270">
        <v>2</v>
      </c>
      <c r="AE270">
        <v>1</v>
      </c>
      <c r="AF270" t="s">
        <v>94</v>
      </c>
    </row>
    <row r="271" spans="1:32" x14ac:dyDescent="0.3">
      <c r="A271" t="s">
        <v>515</v>
      </c>
      <c r="B271" s="17">
        <v>45999</v>
      </c>
      <c r="C271" s="6" t="s">
        <v>236</v>
      </c>
      <c r="D271" s="6">
        <v>6</v>
      </c>
      <c r="E271">
        <v>1</v>
      </c>
      <c r="F271">
        <v>1</v>
      </c>
      <c r="G271" s="1"/>
      <c r="H271" s="4">
        <v>0.63055555555555554</v>
      </c>
      <c r="I271" s="4">
        <v>0.63749999999999996</v>
      </c>
      <c r="J271" s="5">
        <v>27.1</v>
      </c>
      <c r="K271" s="5">
        <v>26.6</v>
      </c>
      <c r="L271" t="s">
        <v>30</v>
      </c>
      <c r="M271" t="s">
        <v>30</v>
      </c>
      <c r="N271" t="s">
        <v>35</v>
      </c>
      <c r="O271" t="s">
        <v>35</v>
      </c>
      <c r="P271" t="s">
        <v>28</v>
      </c>
      <c r="Q271" t="s">
        <v>28</v>
      </c>
      <c r="R271" s="1"/>
      <c r="S271">
        <v>0</v>
      </c>
      <c r="T271">
        <v>0</v>
      </c>
      <c r="U271">
        <v>0</v>
      </c>
      <c r="V271">
        <v>1</v>
      </c>
      <c r="W271">
        <v>0</v>
      </c>
      <c r="X271">
        <v>0</v>
      </c>
      <c r="Y271">
        <v>0</v>
      </c>
      <c r="Z271">
        <v>1</v>
      </c>
      <c r="AA271">
        <v>0</v>
      </c>
      <c r="AB271">
        <v>1</v>
      </c>
      <c r="AC271" t="s">
        <v>34</v>
      </c>
      <c r="AD271">
        <v>0</v>
      </c>
      <c r="AE271">
        <v>0</v>
      </c>
    </row>
    <row r="272" spans="1:32" x14ac:dyDescent="0.3">
      <c r="A272" t="s">
        <v>516</v>
      </c>
      <c r="B272" s="17">
        <v>45999</v>
      </c>
      <c r="C272" s="6" t="s">
        <v>236</v>
      </c>
      <c r="D272" s="6">
        <v>6</v>
      </c>
      <c r="E272">
        <v>1</v>
      </c>
      <c r="F272">
        <v>1</v>
      </c>
      <c r="G272" s="1"/>
      <c r="H272" s="4">
        <v>0.63055555555555554</v>
      </c>
      <c r="I272" s="4">
        <v>0.63749999999999996</v>
      </c>
      <c r="J272" s="5">
        <v>27.1</v>
      </c>
      <c r="K272" s="5">
        <v>26.6</v>
      </c>
      <c r="L272" t="s">
        <v>30</v>
      </c>
      <c r="M272" t="s">
        <v>30</v>
      </c>
      <c r="N272" t="s">
        <v>35</v>
      </c>
      <c r="O272" t="s">
        <v>35</v>
      </c>
      <c r="P272" t="s">
        <v>28</v>
      </c>
      <c r="Q272" t="s">
        <v>28</v>
      </c>
      <c r="R272" s="1"/>
      <c r="S272">
        <v>1</v>
      </c>
      <c r="T272">
        <v>0</v>
      </c>
      <c r="U272">
        <v>0</v>
      </c>
      <c r="V272">
        <v>1</v>
      </c>
      <c r="W272">
        <v>1</v>
      </c>
      <c r="X272">
        <v>0</v>
      </c>
      <c r="Y272">
        <v>0</v>
      </c>
      <c r="Z272">
        <v>1</v>
      </c>
      <c r="AA272">
        <v>0</v>
      </c>
      <c r="AB272">
        <v>1</v>
      </c>
      <c r="AC272" t="s">
        <v>66</v>
      </c>
      <c r="AD272">
        <v>0</v>
      </c>
      <c r="AE272">
        <v>0</v>
      </c>
    </row>
    <row r="273" spans="1:32" x14ac:dyDescent="0.3">
      <c r="A273" t="s">
        <v>517</v>
      </c>
      <c r="B273" s="19">
        <v>45988</v>
      </c>
      <c r="C273" s="6" t="s">
        <v>236</v>
      </c>
      <c r="D273" s="6" t="s">
        <v>241</v>
      </c>
      <c r="E273">
        <v>1</v>
      </c>
      <c r="F273">
        <v>1</v>
      </c>
      <c r="G273" s="3"/>
      <c r="H273" s="4">
        <v>0.65347222222222223</v>
      </c>
      <c r="I273" s="7" t="s">
        <v>92</v>
      </c>
      <c r="J273" s="5">
        <v>23.7</v>
      </c>
      <c r="K273" s="8" t="s">
        <v>92</v>
      </c>
      <c r="L273" t="s">
        <v>56</v>
      </c>
      <c r="M273" s="2" t="s">
        <v>92</v>
      </c>
      <c r="N273" t="s">
        <v>31</v>
      </c>
      <c r="O273" s="2" t="s">
        <v>92</v>
      </c>
      <c r="P273" t="s">
        <v>28</v>
      </c>
      <c r="Q273" t="s">
        <v>28</v>
      </c>
      <c r="R273" s="1"/>
      <c r="S273" s="2"/>
      <c r="T273" s="2"/>
      <c r="U273" s="2"/>
      <c r="V273" s="2"/>
      <c r="W273" s="2"/>
      <c r="X273" s="2"/>
      <c r="Y273" s="2"/>
      <c r="Z273" s="2"/>
      <c r="AA273" s="2"/>
      <c r="AB273" s="2"/>
      <c r="AC273" t="s">
        <v>59</v>
      </c>
      <c r="AD273" s="2" t="s">
        <v>102</v>
      </c>
      <c r="AE273" s="2" t="s">
        <v>102</v>
      </c>
      <c r="AF273" s="2" t="s">
        <v>95</v>
      </c>
    </row>
    <row r="274" spans="1:32" x14ac:dyDescent="0.3">
      <c r="A274" t="s">
        <v>518</v>
      </c>
      <c r="B274" s="19">
        <v>45986</v>
      </c>
      <c r="C274" s="6" t="s">
        <v>236</v>
      </c>
      <c r="D274" s="6" t="s">
        <v>241</v>
      </c>
      <c r="E274">
        <v>1</v>
      </c>
      <c r="F274">
        <v>1</v>
      </c>
      <c r="G274" s="1"/>
      <c r="H274" s="7" t="s">
        <v>105</v>
      </c>
      <c r="I274" s="7" t="s">
        <v>105</v>
      </c>
      <c r="J274" s="8" t="s">
        <v>105</v>
      </c>
      <c r="K274" s="8" t="s">
        <v>105</v>
      </c>
      <c r="L274" t="s">
        <v>56</v>
      </c>
      <c r="M274" t="s">
        <v>56</v>
      </c>
      <c r="N274" t="s">
        <v>35</v>
      </c>
      <c r="O274" s="2" t="s">
        <v>92</v>
      </c>
      <c r="P274" t="s">
        <v>28</v>
      </c>
      <c r="Q274" t="s">
        <v>28</v>
      </c>
      <c r="R274" s="1"/>
      <c r="S274">
        <v>1</v>
      </c>
      <c r="T274">
        <v>1</v>
      </c>
      <c r="U274">
        <v>1</v>
      </c>
      <c r="V274">
        <v>1</v>
      </c>
      <c r="W274">
        <v>0</v>
      </c>
      <c r="X274">
        <v>0</v>
      </c>
      <c r="Y274">
        <v>0</v>
      </c>
      <c r="Z274">
        <v>1</v>
      </c>
      <c r="AA274">
        <v>1</v>
      </c>
      <c r="AB274">
        <v>1</v>
      </c>
      <c r="AD274">
        <v>5</v>
      </c>
      <c r="AE274">
        <v>0</v>
      </c>
      <c r="AF274" t="s">
        <v>114</v>
      </c>
    </row>
    <row r="275" spans="1:32" x14ac:dyDescent="0.3">
      <c r="A275" t="s">
        <v>519</v>
      </c>
      <c r="B275" s="20" t="s">
        <v>105</v>
      </c>
      <c r="C275" s="6" t="s">
        <v>238</v>
      </c>
      <c r="D275" s="6">
        <v>3</v>
      </c>
      <c r="E275">
        <v>2</v>
      </c>
      <c r="F275">
        <v>1</v>
      </c>
      <c r="G275" s="1"/>
      <c r="H275" s="7" t="s">
        <v>108</v>
      </c>
      <c r="I275" s="7" t="s">
        <v>92</v>
      </c>
      <c r="J275" s="5">
        <v>20</v>
      </c>
      <c r="K275" s="8" t="s">
        <v>92</v>
      </c>
      <c r="L275" t="s">
        <v>50</v>
      </c>
      <c r="M275" s="2" t="s">
        <v>92</v>
      </c>
      <c r="N275" t="s">
        <v>26</v>
      </c>
      <c r="O275" s="2" t="s">
        <v>92</v>
      </c>
      <c r="P275" t="s">
        <v>28</v>
      </c>
      <c r="Q275" t="s">
        <v>28</v>
      </c>
      <c r="R275" s="1"/>
      <c r="S275">
        <v>0</v>
      </c>
      <c r="T275">
        <v>0</v>
      </c>
      <c r="U275">
        <v>0</v>
      </c>
      <c r="V275">
        <v>1</v>
      </c>
      <c r="W275">
        <v>0</v>
      </c>
      <c r="X275">
        <v>0</v>
      </c>
      <c r="Y275">
        <v>0</v>
      </c>
      <c r="Z275">
        <v>1</v>
      </c>
      <c r="AA275">
        <v>0</v>
      </c>
      <c r="AB275">
        <v>1</v>
      </c>
      <c r="AC275" t="s">
        <v>109</v>
      </c>
      <c r="AD275">
        <v>1</v>
      </c>
      <c r="AE275">
        <v>0</v>
      </c>
      <c r="AF275" s="2" t="s">
        <v>110</v>
      </c>
    </row>
  </sheetData>
  <autoFilter ref="B1:AJ275" xr:uid="{71242553-4CED-4441-B34C-9FBB336681CB}">
    <sortState xmlns:xlrd2="http://schemas.microsoft.com/office/spreadsheetml/2017/richdata2" ref="B2:AI275">
      <sortCondition ref="H1:H275"/>
    </sortState>
  </autoFilter>
  <phoneticPr fontId="6" type="noConversion"/>
  <conditionalFormatting sqref="S2:AB275">
    <cfRule type="containsText" dxfId="2" priority="2" operator="containsText" text="1">
      <formula>NOT(ISERROR(SEARCH("1",S2)))</formula>
    </cfRule>
  </conditionalFormatting>
  <conditionalFormatting sqref="AD2:AE275">
    <cfRule type="containsBlanks" dxfId="1" priority="3">
      <formula>LEN(TRIM(AD2))=0</formula>
    </cfRule>
  </conditionalFormatting>
  <conditionalFormatting sqref="AF1:AF1048576">
    <cfRule type="duplicateValues" dxfId="0" priority="1"/>
  </conditionalFormatting>
  <dataValidations count="6">
    <dataValidation type="list" allowBlank="1" showInputMessage="1" sqref="N102 O161:O162 O145:O156 O2:O135" xr:uid="{A2E7CC59-1914-4008-A1EB-8D9522AB8670}">
      <formula1>"No wind, No wind-Low, Low, Low-Medium, Medium, Medium-High, High"</formula1>
    </dataValidation>
    <dataValidation type="list" allowBlank="1" showInputMessage="1" showErrorMessage="1" sqref="N102:O102 O163:O275 N103:N275 O136:O144 O157:O160 N2:N101" xr:uid="{DB6CE282-72C1-43B2-9961-0A58333C5B47}">
      <formula1>"No wind, No wind-Low, Low, Low-Medium, Medium, Medium-High, High"</formula1>
    </dataValidation>
    <dataValidation type="list" allowBlank="1" showInputMessage="1" showErrorMessage="1" sqref="N1:O1" xr:uid="{90C1A43D-2723-46DD-B275-534AC89CDB9F}">
      <formula1>"No wind, Low-Medium, Medium, Medium-High, High"</formula1>
    </dataValidation>
    <dataValidation type="list" allowBlank="1" showInputMessage="1" sqref="S1:AB1" xr:uid="{057F36D6-1830-43B9-96ED-1ECAD791E6A7}">
      <formula1>"Yes, No"</formula1>
    </dataValidation>
    <dataValidation type="list" allowBlank="1" showInputMessage="1" sqref="P1:Q275" xr:uid="{7BDA5F05-C26D-4267-9D3D-CCA4215839D5}">
      <formula1>"Dry, Damp, Wet"</formula1>
    </dataValidation>
    <dataValidation type="list" allowBlank="1" showInputMessage="1" sqref="L2:M275" xr:uid="{ACC5DA87-274C-4EE3-9A94-56BFC4BF77EE}">
      <formula1>"No clouds, Few (1-10%), Isolated (11-25%), Scattered (26%-50%), Broken (51%-90%), Overcast (91%-100%)"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BEC94-515F-40DD-B171-E7092EE748CE}">
  <dimension ref="A1:H62"/>
  <sheetViews>
    <sheetView topLeftCell="A25" workbookViewId="0">
      <selection activeCell="F49" sqref="F49"/>
    </sheetView>
  </sheetViews>
  <sheetFormatPr defaultRowHeight="14" x14ac:dyDescent="0.3"/>
  <cols>
    <col min="1" max="1" width="12.75" bestFit="1" customWidth="1"/>
    <col min="2" max="2" width="19.75" customWidth="1"/>
    <col min="3" max="3" width="5" bestFit="1" customWidth="1"/>
    <col min="4" max="4" width="6.5" bestFit="1" customWidth="1"/>
    <col min="5" max="5" width="4.08203125" style="6" bestFit="1" customWidth="1"/>
    <col min="6" max="6" width="9.6640625" customWidth="1"/>
    <col min="7" max="7" width="42.75" bestFit="1" customWidth="1"/>
    <col min="8" max="8" width="7" bestFit="1" customWidth="1"/>
  </cols>
  <sheetData>
    <row r="1" spans="1:8" x14ac:dyDescent="0.3">
      <c r="A1" s="6" t="s">
        <v>534</v>
      </c>
      <c r="B1" s="6" t="s">
        <v>535</v>
      </c>
      <c r="C1" s="6" t="s">
        <v>536</v>
      </c>
      <c r="D1" s="6" t="s">
        <v>537</v>
      </c>
      <c r="E1" s="6" t="s">
        <v>538</v>
      </c>
      <c r="F1" s="6" t="s">
        <v>539</v>
      </c>
      <c r="G1" s="6" t="s">
        <v>540</v>
      </c>
      <c r="H1" s="6" t="s">
        <v>541</v>
      </c>
    </row>
    <row r="2" spans="1:8" x14ac:dyDescent="0.3">
      <c r="A2" t="s">
        <v>542</v>
      </c>
      <c r="B2" s="32" t="s">
        <v>543</v>
      </c>
      <c r="C2">
        <v>2025</v>
      </c>
      <c r="D2">
        <v>11</v>
      </c>
      <c r="E2" s="33" t="s">
        <v>544</v>
      </c>
      <c r="F2">
        <v>27.1</v>
      </c>
      <c r="G2">
        <v>1</v>
      </c>
      <c r="H2" t="s">
        <v>545</v>
      </c>
    </row>
    <row r="3" spans="1:8" x14ac:dyDescent="0.3">
      <c r="A3" t="s">
        <v>542</v>
      </c>
      <c r="B3" s="32" t="s">
        <v>543</v>
      </c>
      <c r="C3">
        <v>2025</v>
      </c>
      <c r="D3">
        <v>11</v>
      </c>
      <c r="E3" s="33" t="s">
        <v>546</v>
      </c>
      <c r="F3">
        <v>28.7</v>
      </c>
      <c r="G3">
        <v>1</v>
      </c>
      <c r="H3" t="s">
        <v>545</v>
      </c>
    </row>
    <row r="4" spans="1:8" x14ac:dyDescent="0.3">
      <c r="A4" t="s">
        <v>542</v>
      </c>
      <c r="B4" s="32" t="s">
        <v>543</v>
      </c>
      <c r="C4">
        <v>2025</v>
      </c>
      <c r="D4">
        <v>11</v>
      </c>
      <c r="E4" s="33" t="s">
        <v>547</v>
      </c>
      <c r="F4">
        <v>27</v>
      </c>
      <c r="G4">
        <v>1</v>
      </c>
      <c r="H4" t="s">
        <v>545</v>
      </c>
    </row>
    <row r="5" spans="1:8" x14ac:dyDescent="0.3">
      <c r="A5" t="s">
        <v>542</v>
      </c>
      <c r="B5" s="32" t="s">
        <v>543</v>
      </c>
      <c r="C5">
        <v>2025</v>
      </c>
      <c r="D5">
        <v>11</v>
      </c>
      <c r="E5" s="33" t="s">
        <v>548</v>
      </c>
      <c r="F5">
        <v>12.9</v>
      </c>
      <c r="G5">
        <v>1</v>
      </c>
      <c r="H5" t="s">
        <v>545</v>
      </c>
    </row>
    <row r="6" spans="1:8" x14ac:dyDescent="0.3">
      <c r="A6" t="s">
        <v>542</v>
      </c>
      <c r="B6" s="32" t="s">
        <v>543</v>
      </c>
      <c r="C6">
        <v>2025</v>
      </c>
      <c r="D6">
        <v>11</v>
      </c>
      <c r="E6" s="33" t="s">
        <v>549</v>
      </c>
      <c r="F6">
        <v>18.399999999999999</v>
      </c>
      <c r="G6">
        <v>1</v>
      </c>
      <c r="H6" t="s">
        <v>545</v>
      </c>
    </row>
    <row r="7" spans="1:8" x14ac:dyDescent="0.3">
      <c r="A7" t="s">
        <v>542</v>
      </c>
      <c r="B7" s="32" t="s">
        <v>543</v>
      </c>
      <c r="C7">
        <v>2025</v>
      </c>
      <c r="D7">
        <v>11</v>
      </c>
      <c r="E7" s="33" t="s">
        <v>550</v>
      </c>
      <c r="F7">
        <v>23.8</v>
      </c>
      <c r="G7">
        <v>1</v>
      </c>
      <c r="H7" t="s">
        <v>545</v>
      </c>
    </row>
    <row r="8" spans="1:8" x14ac:dyDescent="0.3">
      <c r="A8" t="s">
        <v>542</v>
      </c>
      <c r="B8" s="32" t="s">
        <v>543</v>
      </c>
      <c r="C8">
        <v>2025</v>
      </c>
      <c r="D8">
        <v>11</v>
      </c>
      <c r="E8" s="33" t="s">
        <v>551</v>
      </c>
      <c r="F8">
        <v>28.7</v>
      </c>
      <c r="G8">
        <v>1</v>
      </c>
      <c r="H8" t="s">
        <v>545</v>
      </c>
    </row>
    <row r="9" spans="1:8" x14ac:dyDescent="0.3">
      <c r="A9" t="s">
        <v>542</v>
      </c>
      <c r="B9" s="32" t="s">
        <v>543</v>
      </c>
      <c r="C9">
        <v>2025</v>
      </c>
      <c r="D9">
        <v>11</v>
      </c>
      <c r="E9" s="33" t="s">
        <v>552</v>
      </c>
      <c r="F9">
        <v>29.1</v>
      </c>
      <c r="G9">
        <v>1</v>
      </c>
      <c r="H9" t="s">
        <v>545</v>
      </c>
    </row>
    <row r="10" spans="1:8" x14ac:dyDescent="0.3">
      <c r="A10" t="s">
        <v>542</v>
      </c>
      <c r="B10" s="32" t="s">
        <v>543</v>
      </c>
      <c r="C10">
        <v>2025</v>
      </c>
      <c r="D10">
        <v>11</v>
      </c>
      <c r="E10" s="33" t="s">
        <v>553</v>
      </c>
      <c r="F10">
        <v>19.2</v>
      </c>
      <c r="G10">
        <v>1</v>
      </c>
      <c r="H10" t="s">
        <v>545</v>
      </c>
    </row>
    <row r="11" spans="1:8" x14ac:dyDescent="0.3">
      <c r="A11" t="s">
        <v>542</v>
      </c>
      <c r="B11" s="32" t="s">
        <v>543</v>
      </c>
      <c r="C11">
        <v>2025</v>
      </c>
      <c r="D11">
        <v>11</v>
      </c>
      <c r="E11" s="6">
        <v>10</v>
      </c>
      <c r="F11">
        <v>23.5</v>
      </c>
      <c r="G11">
        <v>1</v>
      </c>
      <c r="H11" t="s">
        <v>545</v>
      </c>
    </row>
    <row r="12" spans="1:8" x14ac:dyDescent="0.3">
      <c r="A12" t="s">
        <v>542</v>
      </c>
      <c r="B12" s="32" t="s">
        <v>543</v>
      </c>
      <c r="C12">
        <v>2025</v>
      </c>
      <c r="D12">
        <v>11</v>
      </c>
      <c r="E12" s="6">
        <v>11</v>
      </c>
      <c r="F12">
        <v>20</v>
      </c>
      <c r="G12">
        <v>1</v>
      </c>
      <c r="H12" t="s">
        <v>545</v>
      </c>
    </row>
    <row r="13" spans="1:8" x14ac:dyDescent="0.3">
      <c r="A13" t="s">
        <v>542</v>
      </c>
      <c r="B13" s="32" t="s">
        <v>543</v>
      </c>
      <c r="C13">
        <v>2025</v>
      </c>
      <c r="D13">
        <v>11</v>
      </c>
      <c r="E13" s="6">
        <v>12</v>
      </c>
      <c r="F13">
        <v>21.5</v>
      </c>
      <c r="G13">
        <v>1</v>
      </c>
      <c r="H13" t="s">
        <v>545</v>
      </c>
    </row>
    <row r="14" spans="1:8" x14ac:dyDescent="0.3">
      <c r="A14" t="s">
        <v>542</v>
      </c>
      <c r="B14" s="32" t="s">
        <v>543</v>
      </c>
      <c r="C14">
        <v>2025</v>
      </c>
      <c r="D14">
        <v>11</v>
      </c>
      <c r="E14" s="6">
        <v>13</v>
      </c>
      <c r="F14">
        <v>26</v>
      </c>
      <c r="G14">
        <v>1</v>
      </c>
      <c r="H14" t="s">
        <v>545</v>
      </c>
    </row>
    <row r="15" spans="1:8" x14ac:dyDescent="0.3">
      <c r="A15" t="s">
        <v>542</v>
      </c>
      <c r="B15" s="32" t="s">
        <v>543</v>
      </c>
      <c r="C15">
        <v>2025</v>
      </c>
      <c r="D15">
        <v>11</v>
      </c>
      <c r="E15" s="6">
        <v>14</v>
      </c>
      <c r="F15">
        <v>27.5</v>
      </c>
      <c r="G15">
        <v>1</v>
      </c>
      <c r="H15" t="s">
        <v>545</v>
      </c>
    </row>
    <row r="16" spans="1:8" x14ac:dyDescent="0.3">
      <c r="A16" t="s">
        <v>542</v>
      </c>
      <c r="B16" s="32" t="s">
        <v>543</v>
      </c>
      <c r="C16">
        <v>2025</v>
      </c>
      <c r="D16">
        <v>11</v>
      </c>
      <c r="E16" s="6">
        <v>15</v>
      </c>
      <c r="F16">
        <v>31.8</v>
      </c>
      <c r="G16">
        <v>1</v>
      </c>
      <c r="H16" t="s">
        <v>545</v>
      </c>
    </row>
    <row r="17" spans="1:8" x14ac:dyDescent="0.3">
      <c r="A17" t="s">
        <v>542</v>
      </c>
      <c r="B17" s="32" t="s">
        <v>543</v>
      </c>
      <c r="C17">
        <v>2025</v>
      </c>
      <c r="D17">
        <v>11</v>
      </c>
      <c r="E17" s="6">
        <v>16</v>
      </c>
      <c r="F17">
        <v>25.8</v>
      </c>
      <c r="G17">
        <v>1</v>
      </c>
      <c r="H17" t="s">
        <v>545</v>
      </c>
    </row>
    <row r="18" spans="1:8" x14ac:dyDescent="0.3">
      <c r="A18" t="s">
        <v>542</v>
      </c>
      <c r="B18" s="32" t="s">
        <v>543</v>
      </c>
      <c r="C18">
        <v>2025</v>
      </c>
      <c r="D18">
        <v>11</v>
      </c>
      <c r="E18" s="6">
        <v>17</v>
      </c>
      <c r="F18">
        <v>18.3</v>
      </c>
      <c r="G18">
        <v>1</v>
      </c>
      <c r="H18" t="s">
        <v>545</v>
      </c>
    </row>
    <row r="19" spans="1:8" x14ac:dyDescent="0.3">
      <c r="A19" t="s">
        <v>542</v>
      </c>
      <c r="B19" s="32" t="s">
        <v>543</v>
      </c>
      <c r="C19">
        <v>2025</v>
      </c>
      <c r="D19">
        <v>11</v>
      </c>
      <c r="E19" s="6">
        <v>18</v>
      </c>
      <c r="F19">
        <v>25.5</v>
      </c>
      <c r="G19">
        <v>1</v>
      </c>
      <c r="H19" t="s">
        <v>545</v>
      </c>
    </row>
    <row r="20" spans="1:8" x14ac:dyDescent="0.3">
      <c r="A20" t="s">
        <v>542</v>
      </c>
      <c r="B20" s="32" t="s">
        <v>543</v>
      </c>
      <c r="C20">
        <v>2025</v>
      </c>
      <c r="D20">
        <v>11</v>
      </c>
      <c r="E20" s="6">
        <v>19</v>
      </c>
      <c r="F20">
        <v>29.4</v>
      </c>
      <c r="G20">
        <v>1</v>
      </c>
      <c r="H20" t="s">
        <v>545</v>
      </c>
    </row>
    <row r="21" spans="1:8" x14ac:dyDescent="0.3">
      <c r="A21" t="s">
        <v>542</v>
      </c>
      <c r="B21" s="32" t="s">
        <v>543</v>
      </c>
      <c r="C21">
        <v>2025</v>
      </c>
      <c r="D21">
        <v>11</v>
      </c>
      <c r="E21" s="6">
        <v>20</v>
      </c>
      <c r="F21">
        <v>30</v>
      </c>
      <c r="G21">
        <v>1</v>
      </c>
      <c r="H21" t="s">
        <v>545</v>
      </c>
    </row>
    <row r="22" spans="1:8" x14ac:dyDescent="0.3">
      <c r="A22" t="s">
        <v>542</v>
      </c>
      <c r="B22" s="32" t="s">
        <v>543</v>
      </c>
      <c r="C22">
        <v>2025</v>
      </c>
      <c r="D22">
        <v>11</v>
      </c>
      <c r="E22" s="6">
        <v>21</v>
      </c>
      <c r="F22">
        <v>16</v>
      </c>
      <c r="G22">
        <v>1</v>
      </c>
      <c r="H22" t="s">
        <v>545</v>
      </c>
    </row>
    <row r="23" spans="1:8" x14ac:dyDescent="0.3">
      <c r="A23" t="s">
        <v>542</v>
      </c>
      <c r="B23" s="32" t="s">
        <v>543</v>
      </c>
      <c r="C23">
        <v>2025</v>
      </c>
      <c r="D23">
        <v>11</v>
      </c>
      <c r="E23" s="6">
        <v>22</v>
      </c>
      <c r="F23">
        <v>17.600000000000001</v>
      </c>
      <c r="G23">
        <v>1</v>
      </c>
      <c r="H23" t="s">
        <v>545</v>
      </c>
    </row>
    <row r="24" spans="1:8" x14ac:dyDescent="0.3">
      <c r="A24" t="s">
        <v>542</v>
      </c>
      <c r="B24" s="32" t="s">
        <v>543</v>
      </c>
      <c r="C24">
        <v>2025</v>
      </c>
      <c r="D24">
        <v>11</v>
      </c>
      <c r="E24" s="6">
        <v>23</v>
      </c>
      <c r="F24">
        <v>27.4</v>
      </c>
      <c r="G24">
        <v>1</v>
      </c>
      <c r="H24" t="s">
        <v>545</v>
      </c>
    </row>
    <row r="25" spans="1:8" x14ac:dyDescent="0.3">
      <c r="A25" t="s">
        <v>542</v>
      </c>
      <c r="B25" s="32" t="s">
        <v>543</v>
      </c>
      <c r="C25">
        <v>2025</v>
      </c>
      <c r="D25">
        <v>11</v>
      </c>
      <c r="E25" s="6">
        <v>24</v>
      </c>
      <c r="F25">
        <v>28.4</v>
      </c>
      <c r="G25">
        <v>1</v>
      </c>
      <c r="H25" t="s">
        <v>545</v>
      </c>
    </row>
    <row r="26" spans="1:8" x14ac:dyDescent="0.3">
      <c r="A26" t="s">
        <v>542</v>
      </c>
      <c r="B26" s="32" t="s">
        <v>543</v>
      </c>
      <c r="C26">
        <v>2025</v>
      </c>
      <c r="D26">
        <v>11</v>
      </c>
      <c r="E26" s="6">
        <v>25</v>
      </c>
      <c r="F26">
        <v>31.1</v>
      </c>
      <c r="G26">
        <v>1</v>
      </c>
      <c r="H26" t="s">
        <v>545</v>
      </c>
    </row>
    <row r="27" spans="1:8" x14ac:dyDescent="0.3">
      <c r="A27" t="s">
        <v>542</v>
      </c>
      <c r="B27" s="32" t="s">
        <v>543</v>
      </c>
      <c r="C27">
        <v>2025</v>
      </c>
      <c r="D27">
        <v>11</v>
      </c>
      <c r="E27" s="6">
        <v>26</v>
      </c>
      <c r="F27">
        <v>27</v>
      </c>
      <c r="G27">
        <v>1</v>
      </c>
      <c r="H27" t="s">
        <v>545</v>
      </c>
    </row>
    <row r="28" spans="1:8" x14ac:dyDescent="0.3">
      <c r="A28" t="s">
        <v>542</v>
      </c>
      <c r="B28" s="32" t="s">
        <v>543</v>
      </c>
      <c r="C28">
        <v>2025</v>
      </c>
      <c r="D28">
        <v>11</v>
      </c>
      <c r="E28" s="6">
        <v>27</v>
      </c>
      <c r="F28">
        <v>24.9</v>
      </c>
      <c r="G28">
        <v>1</v>
      </c>
      <c r="H28" t="s">
        <v>545</v>
      </c>
    </row>
    <row r="29" spans="1:8" x14ac:dyDescent="0.3">
      <c r="A29" t="s">
        <v>542</v>
      </c>
      <c r="B29" s="32" t="s">
        <v>543</v>
      </c>
      <c r="C29">
        <v>2025</v>
      </c>
      <c r="D29">
        <v>11</v>
      </c>
      <c r="E29" s="6">
        <v>28</v>
      </c>
      <c r="F29">
        <v>27</v>
      </c>
      <c r="G29">
        <v>1</v>
      </c>
      <c r="H29" t="s">
        <v>545</v>
      </c>
    </row>
    <row r="30" spans="1:8" x14ac:dyDescent="0.3">
      <c r="A30" t="s">
        <v>542</v>
      </c>
      <c r="B30" s="32" t="s">
        <v>543</v>
      </c>
      <c r="C30">
        <v>2025</v>
      </c>
      <c r="D30">
        <v>11</v>
      </c>
      <c r="E30" s="6">
        <v>29</v>
      </c>
      <c r="F30">
        <v>22.9</v>
      </c>
      <c r="G30">
        <v>1</v>
      </c>
      <c r="H30" t="s">
        <v>545</v>
      </c>
    </row>
    <row r="31" spans="1:8" x14ac:dyDescent="0.3">
      <c r="A31" t="s">
        <v>542</v>
      </c>
      <c r="B31" s="32" t="s">
        <v>543</v>
      </c>
      <c r="C31">
        <v>2025</v>
      </c>
      <c r="D31">
        <v>11</v>
      </c>
      <c r="E31" s="6">
        <v>30</v>
      </c>
      <c r="F31">
        <v>19.600000000000001</v>
      </c>
      <c r="G31">
        <v>1</v>
      </c>
      <c r="H31" t="s">
        <v>545</v>
      </c>
    </row>
    <row r="32" spans="1:8" x14ac:dyDescent="0.3">
      <c r="A32" t="s">
        <v>542</v>
      </c>
      <c r="B32" s="32" t="s">
        <v>543</v>
      </c>
      <c r="C32">
        <v>2025</v>
      </c>
      <c r="D32">
        <v>12</v>
      </c>
      <c r="E32" s="33" t="s">
        <v>544</v>
      </c>
      <c r="F32">
        <v>19</v>
      </c>
      <c r="G32">
        <v>1</v>
      </c>
      <c r="H32" t="s">
        <v>554</v>
      </c>
    </row>
    <row r="33" spans="1:8" x14ac:dyDescent="0.3">
      <c r="A33" t="s">
        <v>542</v>
      </c>
      <c r="B33" s="32" t="s">
        <v>543</v>
      </c>
      <c r="C33">
        <v>2025</v>
      </c>
      <c r="D33">
        <v>12</v>
      </c>
      <c r="E33" s="33" t="s">
        <v>546</v>
      </c>
      <c r="F33">
        <v>21.9</v>
      </c>
      <c r="G33">
        <v>1</v>
      </c>
      <c r="H33" t="s">
        <v>554</v>
      </c>
    </row>
    <row r="34" spans="1:8" x14ac:dyDescent="0.3">
      <c r="A34" t="s">
        <v>542</v>
      </c>
      <c r="B34" s="32" t="s">
        <v>543</v>
      </c>
      <c r="C34">
        <v>2025</v>
      </c>
      <c r="D34">
        <v>12</v>
      </c>
      <c r="E34" s="33" t="s">
        <v>547</v>
      </c>
      <c r="F34">
        <v>27.9</v>
      </c>
      <c r="G34">
        <v>1</v>
      </c>
      <c r="H34" t="s">
        <v>554</v>
      </c>
    </row>
    <row r="35" spans="1:8" x14ac:dyDescent="0.3">
      <c r="A35" t="s">
        <v>542</v>
      </c>
      <c r="B35" s="32" t="s">
        <v>543</v>
      </c>
      <c r="C35">
        <v>2025</v>
      </c>
      <c r="D35">
        <v>12</v>
      </c>
      <c r="E35" s="33" t="s">
        <v>548</v>
      </c>
      <c r="F35">
        <v>31.4</v>
      </c>
      <c r="G35">
        <v>1</v>
      </c>
      <c r="H35" t="s">
        <v>554</v>
      </c>
    </row>
    <row r="36" spans="1:8" x14ac:dyDescent="0.3">
      <c r="A36" t="s">
        <v>542</v>
      </c>
      <c r="B36" s="32" t="s">
        <v>543</v>
      </c>
      <c r="C36">
        <v>2025</v>
      </c>
      <c r="D36">
        <v>12</v>
      </c>
      <c r="E36" s="33" t="s">
        <v>549</v>
      </c>
      <c r="F36">
        <v>36</v>
      </c>
      <c r="G36">
        <v>1</v>
      </c>
      <c r="H36" t="s">
        <v>554</v>
      </c>
    </row>
    <row r="37" spans="1:8" x14ac:dyDescent="0.3">
      <c r="A37" t="s">
        <v>542</v>
      </c>
      <c r="B37" s="32" t="s">
        <v>543</v>
      </c>
      <c r="C37">
        <v>2025</v>
      </c>
      <c r="D37">
        <v>12</v>
      </c>
      <c r="E37" s="33" t="s">
        <v>550</v>
      </c>
      <c r="F37">
        <v>34.9</v>
      </c>
      <c r="G37">
        <v>1</v>
      </c>
      <c r="H37" t="s">
        <v>554</v>
      </c>
    </row>
    <row r="38" spans="1:8" x14ac:dyDescent="0.3">
      <c r="A38" t="s">
        <v>542</v>
      </c>
      <c r="B38" s="32" t="s">
        <v>543</v>
      </c>
      <c r="C38">
        <v>2025</v>
      </c>
      <c r="D38">
        <v>12</v>
      </c>
      <c r="E38" s="33" t="s">
        <v>551</v>
      </c>
      <c r="F38">
        <v>25.8</v>
      </c>
      <c r="G38">
        <v>1</v>
      </c>
      <c r="H38" t="s">
        <v>554</v>
      </c>
    </row>
    <row r="39" spans="1:8" x14ac:dyDescent="0.3">
      <c r="A39" t="s">
        <v>542</v>
      </c>
      <c r="B39" s="32" t="s">
        <v>543</v>
      </c>
      <c r="C39">
        <v>2025</v>
      </c>
      <c r="D39">
        <v>12</v>
      </c>
      <c r="E39" s="33" t="s">
        <v>552</v>
      </c>
      <c r="F39">
        <v>28.1</v>
      </c>
      <c r="G39">
        <v>1</v>
      </c>
      <c r="H39" t="s">
        <v>554</v>
      </c>
    </row>
    <row r="40" spans="1:8" x14ac:dyDescent="0.3">
      <c r="A40" t="s">
        <v>542</v>
      </c>
      <c r="B40" s="32" t="s">
        <v>543</v>
      </c>
      <c r="C40">
        <v>2025</v>
      </c>
      <c r="D40">
        <v>12</v>
      </c>
      <c r="E40" s="33" t="s">
        <v>553</v>
      </c>
      <c r="F40">
        <v>33.700000000000003</v>
      </c>
      <c r="G40">
        <v>1</v>
      </c>
      <c r="H40" t="s">
        <v>554</v>
      </c>
    </row>
    <row r="41" spans="1:8" x14ac:dyDescent="0.3">
      <c r="A41" t="s">
        <v>542</v>
      </c>
      <c r="B41" s="32" t="s">
        <v>543</v>
      </c>
      <c r="C41">
        <v>2025</v>
      </c>
      <c r="D41">
        <v>12</v>
      </c>
      <c r="E41" s="6">
        <v>10</v>
      </c>
      <c r="F41">
        <v>33.1</v>
      </c>
      <c r="G41">
        <v>1</v>
      </c>
      <c r="H41" t="s">
        <v>554</v>
      </c>
    </row>
    <row r="42" spans="1:8" x14ac:dyDescent="0.3">
      <c r="A42" t="s">
        <v>542</v>
      </c>
      <c r="B42" s="32" t="s">
        <v>543</v>
      </c>
      <c r="C42">
        <v>2025</v>
      </c>
      <c r="D42">
        <v>12</v>
      </c>
      <c r="E42" s="6">
        <v>11</v>
      </c>
      <c r="F42">
        <v>23.9</v>
      </c>
      <c r="G42">
        <v>1</v>
      </c>
      <c r="H42" t="s">
        <v>554</v>
      </c>
    </row>
    <row r="43" spans="1:8" x14ac:dyDescent="0.3">
      <c r="A43" t="s">
        <v>542</v>
      </c>
      <c r="B43" s="32" t="s">
        <v>543</v>
      </c>
      <c r="C43">
        <v>2025</v>
      </c>
      <c r="D43">
        <v>12</v>
      </c>
      <c r="E43" s="6">
        <v>12</v>
      </c>
      <c r="F43">
        <v>23.6</v>
      </c>
      <c r="G43">
        <v>1</v>
      </c>
      <c r="H43" t="s">
        <v>554</v>
      </c>
    </row>
    <row r="44" spans="1:8" x14ac:dyDescent="0.3">
      <c r="A44" t="s">
        <v>542</v>
      </c>
      <c r="B44" s="32" t="s">
        <v>543</v>
      </c>
      <c r="C44">
        <v>2025</v>
      </c>
      <c r="D44">
        <v>12</v>
      </c>
      <c r="E44" s="6">
        <v>13</v>
      </c>
      <c r="F44">
        <v>23.3</v>
      </c>
      <c r="G44">
        <v>1</v>
      </c>
      <c r="H44" t="s">
        <v>554</v>
      </c>
    </row>
    <row r="45" spans="1:8" x14ac:dyDescent="0.3">
      <c r="A45" t="s">
        <v>542</v>
      </c>
      <c r="B45" s="32" t="s">
        <v>543</v>
      </c>
      <c r="C45">
        <v>2025</v>
      </c>
      <c r="D45">
        <v>12</v>
      </c>
      <c r="E45" s="6">
        <v>14</v>
      </c>
      <c r="F45">
        <v>27.2</v>
      </c>
      <c r="G45">
        <v>1</v>
      </c>
      <c r="H45" t="s">
        <v>554</v>
      </c>
    </row>
    <row r="46" spans="1:8" x14ac:dyDescent="0.3">
      <c r="A46" t="s">
        <v>542</v>
      </c>
      <c r="B46" s="32" t="s">
        <v>543</v>
      </c>
      <c r="C46">
        <v>2025</v>
      </c>
      <c r="D46">
        <v>12</v>
      </c>
      <c r="E46" s="6">
        <v>15</v>
      </c>
      <c r="F46">
        <v>27.2</v>
      </c>
      <c r="G46">
        <v>1</v>
      </c>
      <c r="H46" t="s">
        <v>554</v>
      </c>
    </row>
    <row r="47" spans="1:8" x14ac:dyDescent="0.3">
      <c r="A47" t="s">
        <v>542</v>
      </c>
      <c r="B47" s="32" t="s">
        <v>543</v>
      </c>
      <c r="C47">
        <v>2025</v>
      </c>
      <c r="D47">
        <v>12</v>
      </c>
      <c r="E47" s="6">
        <v>16</v>
      </c>
      <c r="F47">
        <v>26.1</v>
      </c>
      <c r="G47">
        <v>1</v>
      </c>
      <c r="H47" t="s">
        <v>554</v>
      </c>
    </row>
    <row r="48" spans="1:8" x14ac:dyDescent="0.3">
      <c r="A48" t="s">
        <v>542</v>
      </c>
      <c r="B48" s="32" t="s">
        <v>543</v>
      </c>
      <c r="C48">
        <v>2025</v>
      </c>
      <c r="D48">
        <v>12</v>
      </c>
      <c r="E48" s="6">
        <v>17</v>
      </c>
      <c r="F48">
        <v>33.700000000000003</v>
      </c>
      <c r="G48">
        <v>1</v>
      </c>
      <c r="H48" t="s">
        <v>554</v>
      </c>
    </row>
    <row r="49" spans="1:8" x14ac:dyDescent="0.3">
      <c r="A49" t="s">
        <v>542</v>
      </c>
      <c r="B49" s="32" t="s">
        <v>543</v>
      </c>
      <c r="C49">
        <v>2025</v>
      </c>
      <c r="D49">
        <v>12</v>
      </c>
      <c r="E49" s="6">
        <v>18</v>
      </c>
      <c r="F49">
        <v>37.4</v>
      </c>
      <c r="G49">
        <v>1</v>
      </c>
      <c r="H49" t="s">
        <v>554</v>
      </c>
    </row>
    <row r="50" spans="1:8" x14ac:dyDescent="0.3">
      <c r="A50" t="s">
        <v>542</v>
      </c>
      <c r="B50" s="32" t="s">
        <v>543</v>
      </c>
      <c r="C50">
        <v>2025</v>
      </c>
      <c r="D50">
        <v>12</v>
      </c>
      <c r="E50" s="6">
        <v>19</v>
      </c>
      <c r="F50">
        <v>39.4</v>
      </c>
      <c r="G50">
        <v>1</v>
      </c>
      <c r="H50" t="s">
        <v>554</v>
      </c>
    </row>
    <row r="51" spans="1:8" x14ac:dyDescent="0.3">
      <c r="A51" t="s">
        <v>542</v>
      </c>
      <c r="B51" s="32" t="s">
        <v>543</v>
      </c>
      <c r="C51">
        <v>2025</v>
      </c>
      <c r="D51">
        <v>12</v>
      </c>
      <c r="E51" s="6">
        <v>20</v>
      </c>
      <c r="F51">
        <v>34</v>
      </c>
      <c r="G51">
        <v>1</v>
      </c>
      <c r="H51" t="s">
        <v>554</v>
      </c>
    </row>
    <row r="52" spans="1:8" x14ac:dyDescent="0.3">
      <c r="A52" t="s">
        <v>542</v>
      </c>
      <c r="B52" s="32" t="s">
        <v>543</v>
      </c>
      <c r="C52">
        <v>2025</v>
      </c>
      <c r="D52">
        <v>12</v>
      </c>
      <c r="E52" s="6">
        <v>21</v>
      </c>
      <c r="F52">
        <v>28.4</v>
      </c>
      <c r="G52">
        <v>1</v>
      </c>
      <c r="H52" t="s">
        <v>554</v>
      </c>
    </row>
    <row r="53" spans="1:8" x14ac:dyDescent="0.3">
      <c r="A53" t="s">
        <v>542</v>
      </c>
      <c r="B53" s="32" t="s">
        <v>543</v>
      </c>
      <c r="C53">
        <v>2025</v>
      </c>
      <c r="D53">
        <v>12</v>
      </c>
      <c r="E53" s="6">
        <v>22</v>
      </c>
      <c r="F53">
        <v>27.5</v>
      </c>
      <c r="G53">
        <v>1</v>
      </c>
      <c r="H53" t="s">
        <v>554</v>
      </c>
    </row>
    <row r="54" spans="1:8" x14ac:dyDescent="0.3">
      <c r="A54" t="s">
        <v>542</v>
      </c>
      <c r="B54" s="32" t="s">
        <v>543</v>
      </c>
      <c r="C54">
        <v>2025</v>
      </c>
      <c r="D54">
        <v>12</v>
      </c>
      <c r="E54" s="6">
        <v>23</v>
      </c>
      <c r="F54">
        <v>27.9</v>
      </c>
      <c r="G54">
        <v>1</v>
      </c>
      <c r="H54" t="s">
        <v>554</v>
      </c>
    </row>
    <row r="55" spans="1:8" x14ac:dyDescent="0.3">
      <c r="A55" t="s">
        <v>542</v>
      </c>
      <c r="B55" s="32" t="s">
        <v>543</v>
      </c>
      <c r="C55">
        <v>2025</v>
      </c>
      <c r="D55">
        <v>12</v>
      </c>
      <c r="E55" s="6">
        <v>24</v>
      </c>
      <c r="F55">
        <v>29</v>
      </c>
      <c r="G55">
        <v>1</v>
      </c>
      <c r="H55" t="s">
        <v>554</v>
      </c>
    </row>
    <row r="56" spans="1:8" x14ac:dyDescent="0.3">
      <c r="A56" t="s">
        <v>542</v>
      </c>
      <c r="B56" s="32" t="s">
        <v>543</v>
      </c>
      <c r="C56">
        <v>2025</v>
      </c>
      <c r="D56">
        <v>12</v>
      </c>
      <c r="E56" s="6">
        <v>25</v>
      </c>
      <c r="F56">
        <v>27.6</v>
      </c>
      <c r="G56">
        <v>1</v>
      </c>
      <c r="H56" t="s">
        <v>554</v>
      </c>
    </row>
    <row r="57" spans="1:8" x14ac:dyDescent="0.3">
      <c r="A57" t="s">
        <v>542</v>
      </c>
      <c r="B57" s="32" t="s">
        <v>543</v>
      </c>
      <c r="C57">
        <v>2025</v>
      </c>
      <c r="D57">
        <v>12</v>
      </c>
      <c r="E57" s="6">
        <v>26</v>
      </c>
      <c r="F57">
        <v>22.1</v>
      </c>
      <c r="G57">
        <v>1</v>
      </c>
      <c r="H57" t="s">
        <v>554</v>
      </c>
    </row>
    <row r="58" spans="1:8" x14ac:dyDescent="0.3">
      <c r="A58" t="s">
        <v>542</v>
      </c>
      <c r="B58" s="32" t="s">
        <v>543</v>
      </c>
      <c r="C58">
        <v>2025</v>
      </c>
      <c r="D58">
        <v>12</v>
      </c>
      <c r="E58" s="6">
        <v>27</v>
      </c>
      <c r="F58">
        <v>26</v>
      </c>
      <c r="G58">
        <v>1</v>
      </c>
      <c r="H58" t="s">
        <v>554</v>
      </c>
    </row>
    <row r="59" spans="1:8" x14ac:dyDescent="0.3">
      <c r="A59" t="s">
        <v>542</v>
      </c>
      <c r="B59" s="32" t="s">
        <v>543</v>
      </c>
      <c r="C59">
        <v>2025</v>
      </c>
      <c r="D59">
        <v>12</v>
      </c>
      <c r="E59" s="6">
        <v>28</v>
      </c>
      <c r="F59">
        <v>26.1</v>
      </c>
      <c r="G59">
        <v>1</v>
      </c>
      <c r="H59" t="s">
        <v>554</v>
      </c>
    </row>
    <row r="60" spans="1:8" x14ac:dyDescent="0.3">
      <c r="A60" t="s">
        <v>542</v>
      </c>
      <c r="B60" s="32" t="s">
        <v>543</v>
      </c>
      <c r="C60">
        <v>2025</v>
      </c>
      <c r="D60">
        <v>12</v>
      </c>
      <c r="E60" s="6">
        <v>29</v>
      </c>
      <c r="F60">
        <v>29.7</v>
      </c>
      <c r="G60">
        <v>1</v>
      </c>
      <c r="H60" t="s">
        <v>554</v>
      </c>
    </row>
    <row r="61" spans="1:8" x14ac:dyDescent="0.3">
      <c r="A61" t="s">
        <v>542</v>
      </c>
      <c r="B61" s="32" t="s">
        <v>543</v>
      </c>
      <c r="C61">
        <v>2025</v>
      </c>
      <c r="D61">
        <v>12</v>
      </c>
      <c r="E61" s="6">
        <v>30</v>
      </c>
      <c r="F61">
        <v>34.6</v>
      </c>
      <c r="G61">
        <v>1</v>
      </c>
      <c r="H61" t="s">
        <v>554</v>
      </c>
    </row>
    <row r="62" spans="1:8" x14ac:dyDescent="0.3">
      <c r="A62" t="s">
        <v>542</v>
      </c>
      <c r="B62" s="32" t="s">
        <v>543</v>
      </c>
      <c r="C62">
        <v>2025</v>
      </c>
      <c r="D62">
        <v>12</v>
      </c>
      <c r="E62" s="6">
        <v>31</v>
      </c>
      <c r="F62">
        <v>28.1</v>
      </c>
      <c r="G62">
        <v>1</v>
      </c>
      <c r="H62" t="s">
        <v>554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DEF59-30F1-4C93-B720-3CFD4DD530A4}">
  <dimension ref="A1:B17"/>
  <sheetViews>
    <sheetView workbookViewId="0">
      <selection activeCell="E12" sqref="E12"/>
    </sheetView>
  </sheetViews>
  <sheetFormatPr defaultRowHeight="14" x14ac:dyDescent="0.3"/>
  <cols>
    <col min="1" max="1" width="17.9140625" style="28" customWidth="1"/>
    <col min="2" max="2" width="39.5" style="28" customWidth="1"/>
    <col min="3" max="16384" width="8.6640625" style="28"/>
  </cols>
  <sheetData>
    <row r="1" spans="1:2" s="28" customFormat="1" x14ac:dyDescent="0.3">
      <c r="B1" s="34" t="s">
        <v>603</v>
      </c>
    </row>
    <row r="2" spans="1:2" s="28" customFormat="1" x14ac:dyDescent="0.3"/>
    <row r="3" spans="1:2" s="28" customFormat="1" ht="28" x14ac:dyDescent="0.3">
      <c r="A3" s="34" t="s">
        <v>604</v>
      </c>
      <c r="B3" s="28" t="s">
        <v>605</v>
      </c>
    </row>
    <row r="4" spans="1:2" s="28" customFormat="1" x14ac:dyDescent="0.3">
      <c r="A4" s="34" t="s">
        <v>606</v>
      </c>
      <c r="B4" s="28" t="s">
        <v>607</v>
      </c>
    </row>
    <row r="5" spans="1:2" s="28" customFormat="1" x14ac:dyDescent="0.3">
      <c r="A5" s="34" t="s">
        <v>608</v>
      </c>
      <c r="B5" s="28" t="s">
        <v>609</v>
      </c>
    </row>
    <row r="6" spans="1:2" s="28" customFormat="1" x14ac:dyDescent="0.3">
      <c r="A6" s="34" t="s">
        <v>610</v>
      </c>
      <c r="B6" s="28">
        <v>122</v>
      </c>
    </row>
    <row r="7" spans="1:2" s="28" customFormat="1" x14ac:dyDescent="0.3">
      <c r="A7" s="34" t="s">
        <v>611</v>
      </c>
      <c r="B7" s="28" t="s">
        <v>612</v>
      </c>
    </row>
    <row r="8" spans="1:2" s="28" customFormat="1" x14ac:dyDescent="0.3">
      <c r="A8" s="34" t="s">
        <v>613</v>
      </c>
      <c r="B8" s="28" t="s">
        <v>614</v>
      </c>
    </row>
    <row r="9" spans="1:2" s="28" customFormat="1" x14ac:dyDescent="0.3">
      <c r="A9" s="34" t="s">
        <v>615</v>
      </c>
      <c r="B9" s="28">
        <v>70351</v>
      </c>
    </row>
    <row r="10" spans="1:2" s="28" customFormat="1" x14ac:dyDescent="0.3">
      <c r="A10" s="34" t="s">
        <v>616</v>
      </c>
      <c r="B10" s="28" t="s">
        <v>617</v>
      </c>
    </row>
    <row r="11" spans="1:2" s="28" customFormat="1" x14ac:dyDescent="0.3">
      <c r="A11" s="34" t="s">
        <v>618</v>
      </c>
      <c r="B11" s="28">
        <v>2008</v>
      </c>
    </row>
    <row r="12" spans="1:2" s="28" customFormat="1" x14ac:dyDescent="0.3">
      <c r="A12" s="34" t="s">
        <v>619</v>
      </c>
      <c r="B12" s="28" t="s">
        <v>620</v>
      </c>
    </row>
    <row r="13" spans="1:2" s="28" customFormat="1" x14ac:dyDescent="0.3">
      <c r="A13" s="34" t="s">
        <v>621</v>
      </c>
      <c r="B13" s="28" t="s">
        <v>622</v>
      </c>
    </row>
    <row r="14" spans="1:2" s="28" customFormat="1" x14ac:dyDescent="0.3">
      <c r="A14" s="34" t="s">
        <v>623</v>
      </c>
      <c r="B14" s="28" t="s">
        <v>624</v>
      </c>
    </row>
    <row r="15" spans="1:2" s="28" customFormat="1" x14ac:dyDescent="0.3">
      <c r="A15" s="34" t="s">
        <v>625</v>
      </c>
      <c r="B15" s="28" t="s">
        <v>626</v>
      </c>
    </row>
    <row r="16" spans="1:2" s="28" customFormat="1" ht="56" x14ac:dyDescent="0.3">
      <c r="A16" s="34" t="s">
        <v>627</v>
      </c>
      <c r="B16" s="38" t="s">
        <v>628</v>
      </c>
    </row>
    <row r="17" spans="1:2" s="28" customFormat="1" ht="28" x14ac:dyDescent="0.3">
      <c r="A17" s="34" t="s">
        <v>629</v>
      </c>
      <c r="B17" s="28" t="s">
        <v>630</v>
      </c>
    </row>
  </sheetData>
  <hyperlinks>
    <hyperlink ref="B16" r:id="rId1" xr:uid="{BFF2A194-183C-4DEE-A5F8-A8D3A707B7B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transect_data</vt:lpstr>
      <vt:lpstr>Cleaning notes</vt:lpstr>
      <vt:lpstr>original_transect_data</vt:lpstr>
      <vt:lpstr>NOV_DEC_MAX_DAILY_TEMPS_BoM</vt:lpstr>
      <vt:lpstr>METADATA</vt:lpstr>
    </vt:vector>
  </TitlesOfParts>
  <Company>The University of Melbourne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Molly Spencer-Stewart</dc:creator>
  <cp:lastModifiedBy>Molly Spencer-Stewart</cp:lastModifiedBy>
  <dcterms:created xsi:type="dcterms:W3CDTF">2025-12-19T01:48:25Z</dcterms:created>
  <dcterms:modified xsi:type="dcterms:W3CDTF">2026-06-01T15:24:31Z</dcterms:modified>
</cp:coreProperties>
</file>